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4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 &amp; Ownership" sheetId="1" state="visible" r:id="rId3"/>
    <sheet name="Readiness Dashboard" sheetId="2" state="visible" r:id="rId4"/>
    <sheet name="Rehearsal Plan" sheetId="3" state="visible" r:id="rId5"/>
    <sheet name="Run of Show" sheetId="4" state="visible" r:id="rId6"/>
    <sheet name="Customer Touchpoints" sheetId="5" state="visible" r:id="rId7"/>
    <sheet name="Risk Register" sheetId="6" state="visible" r:id="rId8"/>
    <sheet name="Test &amp; Eval Handoff" sheetId="7" state="visible" r:id="rId9"/>
    <sheet name="Package Manifest" sheetId="8" state="visible" r:id="rId10"/>
    <sheet name="Public Links" sheetId="9" state="visible" r:id="rId11"/>
  </sheets>
  <definedNames>
    <definedName function="false" hidden="true" localSheetId="0" name="_xlnm._FilterDatabase" vbProcedure="false">'BOM &amp; Ownership'!$A$1:$I$30</definedName>
    <definedName function="false" hidden="true" localSheetId="4" name="_xlnm._FilterDatabase" vbProcedure="false">'Customer Touchpoints'!$A$1:$I$12</definedName>
    <definedName function="false" hidden="true" localSheetId="7" name="_xlnm._FilterDatabase" vbProcedure="false">'Package Manifest'!$A$1:$I$24</definedName>
    <definedName function="false" hidden="true" localSheetId="8" name="_xlnm._FilterDatabase" vbProcedure="false">'Public Links'!$A$1:$I$27</definedName>
    <definedName function="false" hidden="true" localSheetId="1" name="_xlnm._FilterDatabase" vbProcedure="false">'Readiness Dashboard'!$A$1:$I$11</definedName>
    <definedName function="false" hidden="true" localSheetId="2" name="_xlnm._FilterDatabase" vbProcedure="false">'Rehearsal Plan'!$A$1:$I$8</definedName>
    <definedName function="false" hidden="true" localSheetId="5" name="_xlnm._FilterDatabase" vbProcedure="false">'Risk Register'!$A$1:$I$14</definedName>
    <definedName function="false" hidden="true" localSheetId="3" name="_xlnm._FilterDatabase" vbProcedure="false">'Run of Show'!$A$1:$I$12</definedName>
    <definedName function="false" hidden="true" localSheetId="6" name="_xlnm._FilterDatabase" vbProcedure="false">'Test &amp; Eval Handoff'!$A$1:$I$12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<sst xmlns="http://schemas.openxmlformats.org/spreadsheetml/2006/main" count="1041" uniqueCount="652">
  <si>
    <t xml:space="preserve">FY27 RAPP Workshop BOM and Readiness</t>
  </si>
  <si>
    <t xml:space="preserve">Replace template tokens, assign owners, attach evidence, and close all critical gates before delivery.</t>
  </si>
  <si>
    <t xml:space="preserve">ID</t>
  </si>
  <si>
    <t xml:space="preserve">Workstream</t>
  </si>
  <si>
    <t xml:space="preserve">Item</t>
  </si>
  <si>
    <t xml:space="preserve">Actionable example</t>
  </si>
  <si>
    <t xml:space="preserve">Owner</t>
  </si>
  <si>
    <t xml:space="preserve">Due</t>
  </si>
  <si>
    <t xml:space="preserve">Acceptance criterion</t>
  </si>
  <si>
    <t xml:space="preserve">Evidence / location</t>
  </si>
  <si>
    <t xml:space="preserve">Status</t>
  </si>
  <si>
    <t xml:space="preserve">BOM-001</t>
  </si>
  <si>
    <t xml:space="preserve">Package</t>
  </si>
  <si>
    <t xml:space="preserve">Main deck</t>
  </si>
  <si>
    <t xml:space="preserve">FY27 RAPP Workshop Deck.pptx paired with the facilitator guide</t>
  </si>
  <si>
    <t xml:space="preserve">Lead facilitator</t>
  </si>
  <si>
    <t xml:space="preserve">T-2</t>
  </si>
  <si>
    <t xml:space="preserve">Deck opens without repair; guide talk track and links work</t>
  </si>
  <si>
    <t xml:space="preserve">Workshop package</t>
  </si>
  <si>
    <t xml:space="preserve">Not started</t>
  </si>
  <si>
    <t xml:space="preserve">BOM-002</t>
  </si>
  <si>
    <t xml:space="preserve">Facilitator guide</t>
  </si>
  <si>
    <t xml:space="preserve">Use run of show, talk track, decision gates, and recovery playbook</t>
  </si>
  <si>
    <t xml:space="preserve">Backup facilitator can deliver from guide</t>
  </si>
  <si>
    <t xml:space="preserve">BOM-003</t>
  </si>
  <si>
    <t xml:space="preserve">Customer comms</t>
  </si>
  <si>
    <t xml:space="preserve">Send kickoff, survey, readiness, reminder, thank-you, and outcome summary</t>
  </si>
  <si>
    <t xml:space="preserve">Customer success lead</t>
  </si>
  <si>
    <t xml:space="preserve">T-10 to T+5</t>
  </si>
  <si>
    <t xml:space="preserve">Each touchpoint has date, owner, and response tracking</t>
  </si>
  <si>
    <t xml:space="preserve">Communications pack</t>
  </si>
  <si>
    <t xml:space="preserve">BOM-004</t>
  </si>
  <si>
    <t xml:space="preserve">Scenario</t>
  </si>
  <si>
    <t xml:space="preserve">Discovery transcript</t>
  </si>
  <si>
    <t xml:space="preserve">01 Facilities Discovery Transcript.docx or approved customer equivalent</t>
  </si>
  <si>
    <t xml:space="preserve">Scenario owner</t>
  </si>
  <si>
    <t xml:space="preserve">T-3</t>
  </si>
  <si>
    <t xml:space="preserve">Names user, problem, workflow, capabilities, constraints, metric</t>
  </si>
  <si>
    <t xml:space="preserve">Example Inputs</t>
  </si>
  <si>
    <t xml:space="preserve">BOM-005</t>
  </si>
  <si>
    <t xml:space="preserve">Approved knowledge</t>
  </si>
  <si>
    <t xml:space="preserve">02 Facilities Maintenance FAQ.docx</t>
  </si>
  <si>
    <t xml:space="preserve">Guidance is approved and safe for workshop use</t>
  </si>
  <si>
    <t xml:space="preserve">BOM-006</t>
  </si>
  <si>
    <t xml:space="preserve">Synthetic records</t>
  </si>
  <si>
    <t xml:space="preserve">03 Sample Service Requests.xlsx</t>
  </si>
  <si>
    <t xml:space="preserve">No personal/production data; covers happy and edge cases</t>
  </si>
  <si>
    <t xml:space="preserve">BOM-007</t>
  </si>
  <si>
    <t xml:space="preserve">Expected answer key</t>
  </si>
  <si>
    <t xml:space="preserve">Expected MVP and Scoring Guide.docx</t>
  </si>
  <si>
    <t xml:space="preserve">Facilitator team agrees acceptable variation and red flags</t>
  </si>
  <si>
    <t xml:space="preserve">Facilitator Rehearsal</t>
  </si>
  <si>
    <t xml:space="preserve">BOM-008</t>
  </si>
  <si>
    <t xml:space="preserve">Participant</t>
  </si>
  <si>
    <t xml:space="preserve">GitHub Copilot account</t>
  </si>
  <si>
    <t xml:space="preserve">Run gh auth login or complete the Brainstem browser device-code flow</t>
  </si>
  <si>
    <t xml:space="preserve">Each participant</t>
  </si>
  <si>
    <t xml:space="preserve">T-1</t>
  </si>
  <si>
    <t xml:space="preserve">GitHub Copilot authentication succeeds</t>
  </si>
  <si>
    <t xml:space="preserve">Screenshot or live check</t>
  </si>
  <si>
    <t xml:space="preserve">BOM-009</t>
  </si>
  <si>
    <t xml:space="preserve">Local Brainstem</t>
  </si>
  <si>
    <t xml:space="preserve">Run brainstem and open http://localhost:7071</t>
  </si>
  <si>
    <t xml:space="preserve">Health status is ok and chat opens</t>
  </si>
  <si>
    <t xml:space="preserve">Local readiness check</t>
  </si>
  <si>
    <t xml:space="preserve">BOM-010</t>
  </si>
  <si>
    <t xml:space="preserve">Driver / navigator pairing</t>
  </si>
  <si>
    <t xml:space="preserve">Pair business context with technical operator</t>
  </si>
  <si>
    <t xml:space="preserve">Facilitator</t>
  </si>
  <si>
    <t xml:space="preserve">T-0</t>
  </si>
  <si>
    <t xml:space="preserve">Every participant has an active role</t>
  </si>
  <si>
    <t xml:space="preserve">Attendance plan</t>
  </si>
  <si>
    <t xml:space="preserve">BOM-011</t>
  </si>
  <si>
    <t xml:space="preserve">Local machine</t>
  </si>
  <si>
    <t xml:space="preserve">Installer path</t>
  </si>
  <si>
    <t xml:space="preserve">Test the published installer on each workshop OS</t>
  </si>
  <si>
    <t xml:space="preserve">Technical producer</t>
  </si>
  <si>
    <t xml:space="preserve">Installer handles prerequisites and creates the brainstem command</t>
  </si>
  <si>
    <t xml:space="preserve">Rehearsal log</t>
  </si>
  <si>
    <t xml:space="preserve">BOM-012</t>
  </si>
  <si>
    <t xml:space="preserve">Browser and port</t>
  </si>
  <si>
    <t xml:space="preserve">Modern browser; localhost port 7071 available</t>
  </si>
  <si>
    <t xml:space="preserve">http://localhost:7071 loads</t>
  </si>
  <si>
    <t xml:space="preserve">BOM-013</t>
  </si>
  <si>
    <t xml:space="preserve">Agent folder</t>
  </si>
  <si>
    <t xml:space="preserve">Locate the top-level Brainstem agents/ folder and import control</t>
  </si>
  <si>
    <t xml:space="preserve">A sample *_agent.py auto-loads on the next request</t>
  </si>
  <si>
    <t xml:space="preserve">BOM-014</t>
  </si>
  <si>
    <t xml:space="preserve">Optional extension</t>
  </si>
  <si>
    <t xml:space="preserve">Copilot Studio access</t>
  </si>
  <si>
    <t xml:space="preserve">Licensed instance, target environment, and maker/deployment rights</t>
  </si>
  <si>
    <t xml:space="preserve">Customer IT</t>
  </si>
  <si>
    <t xml:space="preserve">Required only for direct optional deployment; otherwise mark not applicable</t>
  </si>
  <si>
    <t xml:space="preserve">Optional access tracker</t>
  </si>
  <si>
    <t xml:space="preserve">Not applicable</t>
  </si>
  <si>
    <t xml:space="preserve">BOM-015</t>
  </si>
  <si>
    <t xml:space="preserve">Rehearsal</t>
  </si>
  <si>
    <t xml:space="preserve">Technical dry run</t>
  </si>
  <si>
    <t xml:space="preserve">Install, authenticate, author, hot-load, run, refine, and share locally</t>
  </si>
  <si>
    <t xml:space="preserve">Producer + lead</t>
  </si>
  <si>
    <t xml:space="preserve">Core local path completes in &lt;=42 minutes</t>
  </si>
  <si>
    <t xml:space="preserve">BOM-016</t>
  </si>
  <si>
    <t xml:space="preserve">Timed facilitation run</t>
  </si>
  <si>
    <t xml:space="preserve">Deliver participant slides with producer acting as participant</t>
  </si>
  <si>
    <t xml:space="preserve">Optional extension begins by minute 57</t>
  </si>
  <si>
    <t xml:space="preserve">Timing log</t>
  </si>
  <si>
    <t xml:space="preserve">BOM-017</t>
  </si>
  <si>
    <t xml:space="preserve">Contingency drill</t>
  </si>
  <si>
    <t xml:space="preserve">Practice GitHub auth, port, agent-load, syntax, and model failures</t>
  </si>
  <si>
    <t xml:space="preserve">Facilitator team</t>
  </si>
  <si>
    <t xml:space="preserve">Fallback selected within 3 minutes</t>
  </si>
  <si>
    <t xml:space="preserve">Recovery log</t>
  </si>
  <si>
    <t xml:space="preserve">BOM-018</t>
  </si>
  <si>
    <t xml:space="preserve">Fallback</t>
  </si>
  <si>
    <t xml:space="preserve">Known-good local agent</t>
  </si>
  <si>
    <t xml:space="preserve">Prebuilt facilities_request_agent.py plus expected responses</t>
  </si>
  <si>
    <t xml:space="preserve">Agent imports and answers locally</t>
  </si>
  <si>
    <t xml:space="preserve">BOM-019</t>
  </si>
  <si>
    <t xml:space="preserve">Teams-shareable extension agent</t>
  </si>
  <si>
    <t xml:space="preserve">rapp_copilot_studio_extension_agent.py plus transcript2prototype_agent.py</t>
  </si>
  <si>
    <t xml:space="preserve">Generates local M365-style HTML and solution ZIP without environment access</t>
  </si>
  <si>
    <t xml:space="preserve">Optional Extension</t>
  </si>
  <si>
    <t xml:space="preserve">BOM-020</t>
  </si>
  <si>
    <t xml:space="preserve">Customer</t>
  </si>
  <si>
    <t xml:space="preserve">Pre-session survey</t>
  </si>
  <si>
    <t xml:space="preserve">Use 10-question survey in communications pack</t>
  </si>
  <si>
    <t xml:space="preserve">T-7</t>
  </si>
  <si>
    <t xml:space="preserve">One scenario selected; owner and metric confirmed</t>
  </si>
  <si>
    <t xml:space="preserve">Survey responses</t>
  </si>
  <si>
    <t xml:space="preserve">BOM-021</t>
  </si>
  <si>
    <t xml:space="preserve">Data approval</t>
  </si>
  <si>
    <t xml:space="preserve">Customer confirms final source set is permitted for processing</t>
  </si>
  <si>
    <t xml:space="preserve">Written approval or meeting record</t>
  </si>
  <si>
    <t xml:space="preserve">Approval record</t>
  </si>
  <si>
    <t xml:space="preserve">BOM-022</t>
  </si>
  <si>
    <t xml:space="preserve">24-hour reminder</t>
  </si>
  <si>
    <t xml:space="preserve">Send install URL, GitHub auth check, roles, and help path</t>
  </si>
  <si>
    <t xml:space="preserve">Participants acknowledge or blockers assigned</t>
  </si>
  <si>
    <t xml:space="preserve">Email / Teams</t>
  </si>
  <si>
    <t xml:space="preserve">BOM-023</t>
  </si>
  <si>
    <t xml:space="preserve">Follow-up</t>
  </si>
  <si>
    <t xml:space="preserve">Artifact package</t>
  </si>
  <si>
    <t xml:space="preserve">Source, shareable agent.py, local test evidence, observations, optional HTML/ZIP</t>
  </si>
  <si>
    <t xml:space="preserve">T+0</t>
  </si>
  <si>
    <t xml:space="preserve">Stored at {ARTIFACT_LOCATION}</t>
  </si>
  <si>
    <t xml:space="preserve">Artifact link</t>
  </si>
  <si>
    <t xml:space="preserve">BOM-024</t>
  </si>
  <si>
    <t xml:space="preserve">Outcome summary</t>
  </si>
  <si>
    <t xml:space="preserve">Use T+1 template with iterate/scale/stop recommendation</t>
  </si>
  <si>
    <t xml:space="preserve">T+1</t>
  </si>
  <si>
    <t xml:space="preserve">Sponsor receives evidence and decision request</t>
  </si>
  <si>
    <t xml:space="preserve">Outcome email</t>
  </si>
  <si>
    <t xml:space="preserve">BOM-025</t>
  </si>
  <si>
    <t xml:space="preserve">Decision checkpoint</t>
  </si>
  <si>
    <t xml:space="preserve">Confirm next step, owner, and target date</t>
  </si>
  <si>
    <t xml:space="preserve">Sponsor</t>
  </si>
  <si>
    <t xml:space="preserve">T+5</t>
  </si>
  <si>
    <t xml:space="preserve">Decision recorded</t>
  </si>
  <si>
    <t xml:space="preserve">Decision log</t>
  </si>
  <si>
    <t xml:space="preserve">BOM-026</t>
  </si>
  <si>
    <t xml:space="preserve">Test &amp; Eval</t>
  </si>
  <si>
    <t xml:space="preserve">Existing harness/pipeline</t>
  </si>
  <si>
    <t xml:space="preserve">Record the customer Evaluation Harness repo, GitHub Actions workflow, owner, and expected handoff schema</t>
  </si>
  <si>
    <t xml:space="preserve">Customer sandbox lead</t>
  </si>
  <si>
    <t xml:space="preserve">T-5</t>
  </si>
  <si>
    <t xml:space="preserve">Workshop seed assets have a named destination and no duplicate repo/pipeline will be built</t>
  </si>
  <si>
    <t xml:space="preserve">Test &amp; Eval Handoff</t>
  </si>
  <si>
    <t xml:space="preserve">Readiness Dashboard</t>
  </si>
  <si>
    <t xml:space="preserve">Formula-driven status summary. Update Status on the BOM tab.</t>
  </si>
  <si>
    <t xml:space="preserve">Metric</t>
  </si>
  <si>
    <t xml:space="preserve">Value</t>
  </si>
  <si>
    <t xml:space="preserve">Interpretation</t>
  </si>
  <si>
    <t xml:space="preserve">Total BOM items</t>
  </si>
  <si>
    <t xml:space="preserve">All planned items</t>
  </si>
  <si>
    <t xml:space="preserve">Complete</t>
  </si>
  <si>
    <t xml:space="preserve">Closed and evidenced</t>
  </si>
  <si>
    <t xml:space="preserve">In progress</t>
  </si>
  <si>
    <t xml:space="preserve">Owner actively working</t>
  </si>
  <si>
    <t xml:space="preserve">Blocked</t>
  </si>
  <si>
    <t xml:space="preserve">Requires escalation</t>
  </si>
  <si>
    <t xml:space="preserve">No progress recorded</t>
  </si>
  <si>
    <t xml:space="preserve">Completion %</t>
  </si>
  <si>
    <t xml:space="preserve">Target 100% for critical items</t>
  </si>
  <si>
    <t xml:space="preserve">Go / no-go</t>
  </si>
  <si>
    <t xml:space="preserve">Facilitator decision</t>
  </si>
  <si>
    <t xml:space="preserve">Facilitator Rehearsal Plan</t>
  </si>
  <si>
    <t xml:space="preserve">Complete all four passes; record actual timing and evidence.</t>
  </si>
  <si>
    <t xml:space="preserve">Pass</t>
  </si>
  <si>
    <t xml:space="preserve">Objective</t>
  </si>
  <si>
    <t xml:space="preserve">Duration</t>
  </si>
  <si>
    <t xml:space="preserve">Facilitator actions</t>
  </si>
  <si>
    <t xml:space="preserve">Artifacts</t>
  </si>
  <si>
    <t xml:space="preserve">Pass criteria</t>
  </si>
  <si>
    <t xml:space="preserve">Fallback drill</t>
  </si>
  <si>
    <t xml:space="preserve">Actual</t>
  </si>
  <si>
    <t xml:space="preserve">1 - Technical</t>
  </si>
  <si>
    <t xml:space="preserve">Prove local end-to-end path</t>
  </si>
  <si>
    <t xml:space="preserve">45 min</t>
  </si>
  <si>
    <t xml:space="preserve">Install; GitHub auth; start Brainstem; author; hot-load; run; refine; share</t>
  </si>
  <si>
    <t xml:space="preserve">Example inputs + answer key</t>
  </si>
  <si>
    <t xml:space="preserve">&lt;=42 min core path; no manual repair</t>
  </si>
  <si>
    <t xml:space="preserve">Port 7071 busy</t>
  </si>
  <si>
    <t xml:space="preserve">2 - Facilitation</t>
  </si>
  <si>
    <t xml:space="preserve">Prove talk track and timing</t>
  </si>
  <si>
    <t xml:space="preserve">60 min</t>
  </si>
  <si>
    <t xml:space="preserve">Deliver deck aloud; producer acts as participant; protect author/run/test blocks</t>
  </si>
  <si>
    <t xml:space="preserve">Deck + guide + timer</t>
  </si>
  <si>
    <t xml:space="preserve">Participant 10 minutes late</t>
  </si>
  <si>
    <t xml:space="preserve">3 - Contingency</t>
  </si>
  <si>
    <t xml:space="preserve">Prove local recovery</t>
  </si>
  <si>
    <t xml:space="preserve">30 min</t>
  </si>
  <si>
    <t xml:space="preserve">Trigger GitHub auth, port, agent-load, syntax, and model failures</t>
  </si>
  <si>
    <t xml:space="preserve">Fallback agent.py + static demo</t>
  </si>
  <si>
    <t xml:space="preserve">Select recovery in &lt;=3 min</t>
  </si>
  <si>
    <t xml:space="preserve">GitHub unavailable</t>
  </si>
  <si>
    <t xml:space="preserve">4 - Peer QA</t>
  </si>
  <si>
    <t xml:space="preserve">Independent quality review</t>
  </si>
  <si>
    <t xml:space="preserve">Backup facilitator reviews package without author present</t>
  </si>
  <si>
    <t xml:space="preserve">Full package</t>
  </si>
  <si>
    <t xml:space="preserve">Can locate every artifact and run next step</t>
  </si>
  <si>
    <t xml:space="preserve">Missing customer source</t>
  </si>
  <si>
    <t xml:space="preserve">60-Minute Run of Show</t>
  </si>
  <si>
    <t xml:space="preserve">Protect the local author, run, and test blocks; keep the extension optional.</t>
  </si>
  <si>
    <t xml:space="preserve">Time</t>
  </si>
  <si>
    <t xml:space="preserve">Slides</t>
  </si>
  <si>
    <t xml:space="preserve">Facilitator move</t>
  </si>
  <si>
    <t xml:space="preserve">Participant action</t>
  </si>
  <si>
    <t xml:space="preserve">Required output</t>
  </si>
  <si>
    <t xml:space="preserve">Recovery if late</t>
  </si>
  <si>
    <t xml:space="preserve">Notes</t>
  </si>
  <si>
    <t xml:space="preserve">00-10</t>
  </si>
  <si>
    <t xml:space="preserve">1-5</t>
  </si>
  <si>
    <t xml:space="preserve">Set promise; explain local Brainstem and five steps</t>
  </si>
  <si>
    <t xml:space="preserve">Choose driver/navigator; name gates</t>
  </si>
  <si>
    <t xml:space="preserve">Local-first definition of done</t>
  </si>
  <si>
    <t xml:space="preserve">Use slides 1, 3, and 5</t>
  </si>
  <si>
    <t xml:space="preserve">Lead</t>
  </si>
  <si>
    <t xml:space="preserve">10-15</t>
  </si>
  <si>
    <t xml:space="preserve">6</t>
  </si>
  <si>
    <t xml:space="preserve">Read scenario and identify signal</t>
  </si>
  <si>
    <t xml:space="preserve">Find user/problem/outcome/guardrail</t>
  </si>
  <si>
    <t xml:space="preserve">Scenario understanding</t>
  </si>
  <si>
    <t xml:space="preserve">Use facilitator summary</t>
  </si>
  <si>
    <t xml:space="preserve">15-25</t>
  </si>
  <si>
    <t xml:space="preserve">7-9</t>
  </si>
  <si>
    <t xml:space="preserve">Prepare source; authenticate; install/start Brainstem</t>
  </si>
  <si>
    <t xml:space="preserve">Open localhost:7071</t>
  </si>
  <si>
    <t xml:space="preserve">Local Brainstem running</t>
  </si>
  <si>
    <t xml:space="preserve">Pair blocked participant</t>
  </si>
  <si>
    <t xml:space="preserve">Producer</t>
  </si>
  <si>
    <t xml:space="preserve">25-35</t>
  </si>
  <si>
    <t xml:space="preserve">10-11</t>
  </si>
  <si>
    <t xml:space="preserve">Review agent contract and author file</t>
  </si>
  <si>
    <t xml:space="preserve">Create facilities_request_agent.py</t>
  </si>
  <si>
    <t xml:space="preserve">Shareable agent.py</t>
  </si>
  <si>
    <t xml:space="preserve">Use provided fallback file</t>
  </si>
  <si>
    <t xml:space="preserve">Driver</t>
  </si>
  <si>
    <t xml:space="preserve">35-45</t>
  </si>
  <si>
    <t xml:space="preserve">12-13</t>
  </si>
  <si>
    <t xml:space="preserve">Import/hot-load and run locally</t>
  </si>
  <si>
    <t xml:space="preserve">Chat with the agent; inspect logs</t>
  </si>
  <si>
    <t xml:space="preserve">Runtime proof</t>
  </si>
  <si>
    <t xml:space="preserve">Use facilitator machine</t>
  </si>
  <si>
    <t xml:space="preserve">Pair</t>
  </si>
  <si>
    <t xml:space="preserve">45-53</t>
  </si>
  <si>
    <t xml:space="preserve">14-15</t>
  </si>
  <si>
    <t xml:space="preserve">Run tests and refine safely</t>
  </si>
  <si>
    <t xml:space="preserve">Edit file; next request reloads; retest</t>
  </si>
  <si>
    <t xml:space="preserve">Local test evidence</t>
  </si>
  <si>
    <t xml:space="preserve">Prioritize safety + unknown</t>
  </si>
  <si>
    <t xml:space="preserve">53-57</t>
  </si>
  <si>
    <t xml:space="preserve">16</t>
  </si>
  <si>
    <t xml:space="preserve">Run teach-back and share</t>
  </si>
  <si>
    <t xml:space="preserve">Explain steps; show file/response; switch roles</t>
  </si>
  <si>
    <t xml:space="preserve">Learning check + shared file</t>
  </si>
  <si>
    <t xml:space="preserve">Capture async only if required</t>
  </si>
  <si>
    <t xml:space="preserve">57-60</t>
  </si>
  <si>
    <t xml:space="preserve">17</t>
  </si>
  <si>
    <t xml:space="preserve">Close; preview optional extension</t>
  </si>
  <si>
    <t xml:space="preserve">Note local HTML/ZIP or connected deployment path</t>
  </si>
  <si>
    <t xml:space="preserve">Owned next step</t>
  </si>
  <si>
    <t xml:space="preserve">Skip extension if late</t>
  </si>
  <si>
    <t xml:space="preserve">Customer Touchpoints</t>
  </si>
  <si>
    <t xml:space="preserve">Use the copy-ready templates in the Customer Communications Pack.</t>
  </si>
  <si>
    <t xml:space="preserve">Timing</t>
  </si>
  <si>
    <t xml:space="preserve">Audience</t>
  </si>
  <si>
    <t xml:space="preserve">Channel</t>
  </si>
  <si>
    <t xml:space="preserve">Template</t>
  </si>
  <si>
    <t xml:space="preserve">Required action</t>
  </si>
  <si>
    <t xml:space="preserve">Response / evidence</t>
  </si>
  <si>
    <t xml:space="preserve">T-10</t>
  </si>
  <si>
    <t xml:space="preserve">Sponsor + scenario owner</t>
  </si>
  <si>
    <t xml:space="preserve">Email</t>
  </si>
  <si>
    <t xml:space="preserve">Kickoff and participant nomination</t>
  </si>
  <si>
    <t xml:space="preserve">Nominate roles; complete survey</t>
  </si>
  <si>
    <t xml:space="preserve">Named owner + participant list</t>
  </si>
  <si>
    <t xml:space="preserve">Customer success</t>
  </si>
  <si>
    <t xml:space="preserve">T-10 to T-7</t>
  </si>
  <si>
    <t xml:space="preserve">Form</t>
  </si>
  <si>
    <t xml:space="preserve">Provide problem, workflow, files, metric</t>
  </si>
  <si>
    <t xml:space="preserve">One focused scenario</t>
  </si>
  <si>
    <t xml:space="preserve">Participants + IT</t>
  </si>
  <si>
    <t xml:space="preserve">Access and source readiness</t>
  </si>
  <si>
    <t xml:space="preserve">Confirm GitHub Copilot access; approve source</t>
  </si>
  <si>
    <t xml:space="preserve">Access confirmed/blocked</t>
  </si>
  <si>
    <t xml:space="preserve">Participants</t>
  </si>
  <si>
    <t xml:space="preserve">Join prepared; report blockers</t>
  </si>
  <si>
    <t xml:space="preserve">Acknowledgement</t>
  </si>
  <si>
    <t xml:space="preserve">Meeting chat</t>
  </si>
  <si>
    <t xml:space="preserve">Day-of message</t>
  </si>
  <si>
    <t xml:space="preserve">Open install link and localhost</t>
  </si>
  <si>
    <t xml:space="preserve">Everyone ready</t>
  </si>
  <si>
    <t xml:space="preserve">Thank-you and pulse survey</t>
  </si>
  <si>
    <t xml:space="preserve">Review artifacts; provide feedback</t>
  </si>
  <si>
    <t xml:space="preserve">Pulse responses</t>
  </si>
  <si>
    <t xml:space="preserve">Email / readout</t>
  </si>
  <si>
    <t xml:space="preserve">Review evidence and recommendation</t>
  </si>
  <si>
    <t xml:space="preserve">Decision requested</t>
  </si>
  <si>
    <t xml:space="preserve">Account lead</t>
  </si>
  <si>
    <t xml:space="preserve">Email / meeting</t>
  </si>
  <si>
    <t xml:space="preserve">Choose iterate, scale, or stop</t>
  </si>
  <si>
    <t xml:space="preserve">Decision + owner</t>
  </si>
  <si>
    <t xml:space="preserve">Workshop Risk Register</t>
  </si>
  <si>
    <t xml:space="preserve">Assign prevention and recovery before the dry run.</t>
  </si>
  <si>
    <t xml:space="preserve">Risk</t>
  </si>
  <si>
    <t xml:space="preserve">Trigger</t>
  </si>
  <si>
    <t xml:space="preserve">Prevention</t>
  </si>
  <si>
    <t xml:space="preserve">Three-minute recovery</t>
  </si>
  <si>
    <t xml:space="preserve">Impact</t>
  </si>
  <si>
    <t xml:space="preserve">Likelihood</t>
  </si>
  <si>
    <t xml:space="preserve">R-01</t>
  </si>
  <si>
    <t xml:space="preserve">GitHub auth fails</t>
  </si>
  <si>
    <t xml:space="preserve">Brainstem cannot obtain Copilot access</t>
  </si>
  <si>
    <t xml:space="preserve">T-1 authentication check</t>
  </si>
  <si>
    <t xml:space="preserve">Use browser device-code flow; pair participant</t>
  </si>
  <si>
    <t xml:space="preserve">High</t>
  </si>
  <si>
    <t xml:space="preserve">Medium</t>
  </si>
  <si>
    <t xml:space="preserve">Open</t>
  </si>
  <si>
    <t xml:space="preserve">R-02</t>
  </si>
  <si>
    <t xml:space="preserve">Local UI does not start</t>
  </si>
  <si>
    <t xml:space="preserve">T-1 local health check</t>
  </si>
  <si>
    <t xml:space="preserve">Stop the known conflicting process or use facilitator machine</t>
  </si>
  <si>
    <t xml:space="preserve">R-03</t>
  </si>
  <si>
    <t xml:space="preserve">Unauthorized source data</t>
  </si>
  <si>
    <t xml:space="preserve">Sensitive or unclear classification</t>
  </si>
  <si>
    <t xml:space="preserve">Customer source approval</t>
  </si>
  <si>
    <t xml:space="preserve">Use packaged synthetic inputs</t>
  </si>
  <si>
    <t xml:space="preserve">Low</t>
  </si>
  <si>
    <t xml:space="preserve">R-04</t>
  </si>
  <si>
    <t xml:space="preserve">Scenario too broad</t>
  </si>
  <si>
    <t xml:space="preserve">Agent contract has &gt;4 capabilities</t>
  </si>
  <si>
    <t xml:space="preserve">Survey triage and scenario brief</t>
  </si>
  <si>
    <t xml:space="preserve">Use facilities example or narrow scope</t>
  </si>
  <si>
    <t xml:space="preserve">R-05</t>
  </si>
  <si>
    <t xml:space="preserve">Agent not loaded</t>
  </si>
  <si>
    <t xml:space="preserve">Tool absent from Brainstem</t>
  </si>
  <si>
    <t xml:space="preserve">T-2 technical dry run</t>
  </si>
  <si>
    <t xml:space="preserve">Check top-level *_agent.py name, class, metadata, and syntax</t>
  </si>
  <si>
    <t xml:space="preserve">R-06</t>
  </si>
  <si>
    <t xml:space="preserve">Agent syntax/import failure</t>
  </si>
  <si>
    <t xml:space="preserve">Brainstem logs import error</t>
  </si>
  <si>
    <t xml:space="preserve">Compile fallback agent before session</t>
  </si>
  <si>
    <t xml:space="preserve">Use known-good facilities_request_agent.py</t>
  </si>
  <si>
    <t xml:space="preserve">R-07</t>
  </si>
  <si>
    <t xml:space="preserve">Model unavailable</t>
  </si>
  <si>
    <t xml:space="preserve">Copilot model request fails</t>
  </si>
  <si>
    <t xml:space="preserve">Verify default model during dry run</t>
  </si>
  <si>
    <t xml:space="preserve">Switch model in UI; use facilitator machine</t>
  </si>
  <si>
    <t xml:space="preserve">Technical owner</t>
  </si>
  <si>
    <t xml:space="preserve">R-08</t>
  </si>
  <si>
    <t xml:space="preserve">Time overrun</t>
  </si>
  <si>
    <t xml:space="preserve">Agent not running by minute 45</t>
  </si>
  <si>
    <t xml:space="preserve">Timed rehearsal</t>
  </si>
  <si>
    <t xml:space="preserve">Use prebuilt agent.py and continue testing</t>
  </si>
  <si>
    <t xml:space="preserve">R-09</t>
  </si>
  <si>
    <t xml:space="preserve">Partner content overlap</t>
  </si>
  <si>
    <t xml:space="preserve">Duplicate discovery or tool walkthrough</t>
  </si>
  <si>
    <t xml:space="preserve">Share module boundaries early</t>
  </si>
  <si>
    <t xml:space="preserve">Reframe handoff live; capture owner</t>
  </si>
  <si>
    <t xml:space="preserve">Pilot lead</t>
  </si>
  <si>
    <t xml:space="preserve">R-10</t>
  </si>
  <si>
    <t xml:space="preserve">Prototype represented as production-ready</t>
  </si>
  <si>
    <t xml:space="preserve">Stakeholder skips governance</t>
  </si>
  <si>
    <t xml:space="preserve">Responsible-use slide and written notice</t>
  </si>
  <si>
    <t xml:space="preserve">Restate prototype status; assign reviews</t>
  </si>
  <si>
    <t xml:space="preserve">The workshop supplies seed evaluation assets; the customer sandbox team owns any Evaluation Harness repository and GitHub Actions pipeline.</t>
  </si>
  <si>
    <t xml:space="preserve">Deliverable</t>
  </si>
  <si>
    <t xml:space="preserve">Workshop produces</t>
  </si>
  <si>
    <t xml:space="preserve">Confirm existing customer asset</t>
  </si>
  <si>
    <t xml:space="preserve">Handoff format</t>
  </si>
  <si>
    <t xml:space="preserve">Downstream owner</t>
  </si>
  <si>
    <t xml:space="preserve">No-duplication note</t>
  </si>
  <si>
    <t xml:space="preserve">Evidence link</t>
  </si>
  <si>
    <t xml:space="preserve">Local agent</t>
  </si>
  <si>
    <t xml:space="preserve">Passing facilities_request_agent.py or participant agent.py</t>
  </si>
  <si>
    <t xml:space="preserve">Evaluation Harness repository</t>
  </si>
  <si>
    <t xml:space="preserve">Python file + commit-ready metadata</t>
  </si>
  <si>
    <t xml:space="preserve">Harness owner</t>
  </si>
  <si>
    <t xml:space="preserve">Ready to hand off</t>
  </si>
  <si>
    <t xml:space="preserve">Workshop does not create a second repository</t>
  </si>
  <si>
    <t xml:space="preserve">Source provenance</t>
  </si>
  <si>
    <t xml:space="preserve">Approved transcript/requirements and scenario statement</t>
  </si>
  <si>
    <t xml:space="preserve">Dataset/source registry</t>
  </si>
  <si>
    <t xml:space="preserve">DOCX/MD + classification</t>
  </si>
  <si>
    <t xml:space="preserve">Data owner</t>
  </si>
  <si>
    <t xml:space="preserve">Reuse customer provenance conventions</t>
  </si>
  <si>
    <t xml:space="preserve">Test prompts</t>
  </si>
  <si>
    <t xml:space="preserve">Happy, edge, unknown, and safety prompts</t>
  </si>
  <si>
    <t xml:space="preserve">Existing eval dataset schema</t>
  </si>
  <si>
    <t xml:space="preserve">XLSX/JSON rows</t>
  </si>
  <si>
    <t xml:space="preserve">Evaluation owner</t>
  </si>
  <si>
    <t xml:space="preserve">Map into the existing schema; do not fork it</t>
  </si>
  <si>
    <t xml:space="preserve">Expected behavior</t>
  </si>
  <si>
    <t xml:space="preserve">Required-pass cases and 0/1/2 rubric</t>
  </si>
  <si>
    <t xml:space="preserve">Existing graders/evaluators</t>
  </si>
  <si>
    <t xml:space="preserve">Scoring-guide table</t>
  </si>
  <si>
    <t xml:space="preserve">Grader owner</t>
  </si>
  <si>
    <t xml:space="preserve">Reuse graders where they already exist</t>
  </si>
  <si>
    <t xml:space="preserve">Observed evidence</t>
  </si>
  <si>
    <t xml:space="preserve">Local responses, agent logs, score, verdict</t>
  </si>
  <si>
    <t xml:space="preserve">Results store/dashboard</t>
  </si>
  <si>
    <t xml:space="preserve">JSON/CSV + artifact link</t>
  </si>
  <si>
    <t xml:space="preserve">Pipeline owner</t>
  </si>
  <si>
    <t xml:space="preserve">Workshop captures seed evidence only</t>
  </si>
  <si>
    <t xml:space="preserve">Known gaps</t>
  </si>
  <si>
    <t xml:space="preserve">One specific improvement, owner, and due date</t>
  </si>
  <si>
    <t xml:space="preserve">Issue/backlog system</t>
  </si>
  <si>
    <t xml:space="preserve">Issue-ready summary</t>
  </si>
  <si>
    <t xml:space="preserve">Product owner</t>
  </si>
  <si>
    <t xml:space="preserve">Use the existing backlog</t>
  </si>
  <si>
    <t xml:space="preserve">Automation boundary</t>
  </si>
  <si>
    <t xml:space="preserve">No CI/CD or GitHub Actions workflow authored</t>
  </si>
  <si>
    <t xml:space="preserve">Customer sandbox pipeline</t>
  </si>
  <si>
    <t xml:space="preserve">Owner/repo/workflow reference</t>
  </si>
  <si>
    <t xml:space="preserve">Sandbox team</t>
  </si>
  <si>
    <t xml:space="preserve">Confirm before workshop</t>
  </si>
  <si>
    <t xml:space="preserve">Explicitly prevents duplicated pipeline work</t>
  </si>
  <si>
    <t xml:space="preserve">Static M365 HTML demo and solution ZIP, if used</t>
  </si>
  <si>
    <t xml:space="preserve">Copilot Studio test environment</t>
  </si>
  <si>
    <t xml:space="preserve">HTML + ZIP</t>
  </si>
  <si>
    <t xml:space="preserve">Delivery team</t>
  </si>
  <si>
    <t xml:space="preserve">Optional</t>
  </si>
  <si>
    <t xml:space="preserve">Separate from the required local evaluation path</t>
  </si>
  <si>
    <t xml:space="preserve">Package Manifest</t>
  </si>
  <si>
    <t xml:space="preserve">Expected files and their operational purpose.</t>
  </si>
  <si>
    <t xml:space="preserve">File</t>
  </si>
  <si>
    <t xml:space="preserve">Purpose</t>
  </si>
  <si>
    <t xml:space="preserve">Use when</t>
  </si>
  <si>
    <t xml:space="preserve">Acceptance check</t>
  </si>
  <si>
    <t xml:space="preserve">Location</t>
  </si>
  <si>
    <t xml:space="preserve">Version</t>
  </si>
  <si>
    <t xml:space="preserve">FY27 RAPP Workshop Deck.pptx</t>
  </si>
  <si>
    <t xml:space="preserve">All</t>
  </si>
  <si>
    <t xml:space="preserve">60-minute participant experience</t>
  </si>
  <si>
    <t xml:space="preserve">Live</t>
  </si>
  <si>
    <t xml:space="preserve">Renders cleanly; facilitator guide included</t>
  </si>
  <si>
    <t xml:space="preserve">Package root</t>
  </si>
  <si>
    <t xml:space="preserve">1.0</t>
  </si>
  <si>
    <t xml:space="preserve">Ready</t>
  </si>
  <si>
    <t xml:space="preserve">FY27 RAPP Facilitator Guide.docx</t>
  </si>
  <si>
    <t xml:space="preserve">Facilitators</t>
  </si>
  <si>
    <t xml:space="preserve">Prepare/rehearse/deliver/recover</t>
  </si>
  <si>
    <t xml:space="preserve">T-10 onward</t>
  </si>
  <si>
    <t xml:space="preserve">Backup can deliver</t>
  </si>
  <si>
    <t xml:space="preserve">FY27 RAPP Customer Communications Pack.docx</t>
  </si>
  <si>
    <t xml:space="preserve">Account team</t>
  </si>
  <si>
    <t xml:space="preserve">Pre/post customer content</t>
  </si>
  <si>
    <t xml:space="preserve">Tokens replaced</t>
  </si>
  <si>
    <t xml:space="preserve">FY27 RAPP Workshop BOM and Readiness.xlsx</t>
  </si>
  <si>
    <t xml:space="preserve">Track readiness and risks</t>
  </si>
  <si>
    <t xml:space="preserve">Planning</t>
  </si>
  <si>
    <t xml:space="preserve">No blocked critical items</t>
  </si>
  <si>
    <t xml:space="preserve">01 Facilities Discovery Transcript.docx</t>
  </si>
  <si>
    <t xml:space="preserve">Narrative input</t>
  </si>
  <si>
    <t xml:space="preserve">Workshop</t>
  </si>
  <si>
    <t xml:space="preserve">Approved synthetic content</t>
  </si>
  <si>
    <t xml:space="preserve">Knowledge input</t>
  </si>
  <si>
    <t xml:space="preserve">Structured input and prompts</t>
  </si>
  <si>
    <t xml:space="preserve">No PII; formulas clean</t>
  </si>
  <si>
    <t xml:space="preserve">facilities_request_agent.py</t>
  </si>
  <si>
    <t xml:space="preserve">Known-good local fallback agent</t>
  </si>
  <si>
    <t xml:space="preserve">Workshop/recovery</t>
  </si>
  <si>
    <t xml:space="preserve">Imports, runs, and passes critical/happy-path checks</t>
  </si>
  <si>
    <t xml:space="preserve">Answer key and scoring</t>
  </si>
  <si>
    <t xml:space="preserve">Rehearsal/live</t>
  </si>
  <si>
    <t xml:space="preserve">Not shared before build</t>
  </si>
  <si>
    <t xml:space="preserve">rapp_copilot_studio_extension_agent.py</t>
  </si>
  <si>
    <t xml:space="preserve">Single-file optional extension shared in Teams</t>
  </si>
  <si>
    <t xml:space="preserve">Optional 57-60 preview</t>
  </si>
  <si>
    <t xml:space="preserve">Generates local HTML and solution ZIP; direct deploy needs separate rights</t>
  </si>
  <si>
    <t xml:space="preserve">transcript2prototype_agent.py</t>
  </si>
  <si>
    <t xml:space="preserve">Full local transcript-to-prototype pipeline agent</t>
  </si>
  <si>
    <t xml:space="preserve">Optional extension / advanced rehearsal</t>
  </si>
  <si>
    <t xml:space="preserve">Imports into Brainstem and exposes local demo/build/test/export/deploy actions</t>
  </si>
  <si>
    <t xml:space="preserve">FacilitiesWorkshop_M365_Demo.html</t>
  </si>
  <si>
    <t xml:space="preserve">Known-good static M365-style fallback demo</t>
  </si>
  <si>
    <t xml:space="preserve">Optional extension/recovery</t>
  </si>
  <si>
    <t xml:space="preserve">Opens locally and drives the synthetic scenario</t>
  </si>
  <si>
    <t xml:space="preserve">Optional Extension/Sample Output</t>
  </si>
  <si>
    <t xml:space="preserve">FacilitiesWorkshop_CopilotStudio_Solution.zip</t>
  </si>
  <si>
    <t xml:space="preserve">Known-good manual-import fallback ZIP</t>
  </si>
  <si>
    <t xml:space="preserve">Solution ZIP validates</t>
  </si>
  <si>
    <t xml:space="preserve">rapp_evaluation_seed.json</t>
  </si>
  <si>
    <t xml:space="preserve">Customer evaluation team</t>
  </si>
  <si>
    <t xml:space="preserve">Seed cases for an existing harness/pipeline</t>
  </si>
  <si>
    <t xml:space="preserve">T+0 handoff</t>
  </si>
  <si>
    <t xml:space="preserve">Schema validates; no repository or workflow is created</t>
  </si>
  <si>
    <t xml:space="preserve">bom.html</t>
  </si>
  <si>
    <t xml:space="preserve">Portable online BOM and readiness view</t>
  </si>
  <si>
    <t xml:space="preserve">Planning/review</t>
  </si>
  <si>
    <t xml:space="preserve">Local XLSX and tentative public URLs are cross-referenced</t>
  </si>
  <si>
    <t xml:space="preserve">Public site</t>
  </si>
  <si>
    <t xml:space="preserve">Pending merge</t>
  </si>
  <si>
    <t xml:space="preserve">facilitator-runbook.html</t>
  </si>
  <si>
    <t xml:space="preserve">Step-by-step browser runbook with contextual downloads</t>
  </si>
  <si>
    <t xml:space="preserve">Prepare/live delivery</t>
  </si>
  <si>
    <t xml:space="preserve">Every workshop step links to its relevant BOM artifacts</t>
  </si>
  <si>
    <t xml:space="preserve">facilitator-guide.html</t>
  </si>
  <si>
    <t xml:space="preserve">Browser-readable delivery runbook</t>
  </si>
  <si>
    <t xml:space="preserve">Prepare/rehearse</t>
  </si>
  <si>
    <t xml:space="preserve">Content matches DOCX guide</t>
  </si>
  <si>
    <t xml:space="preserve">customer-communications.html</t>
  </si>
  <si>
    <t xml:space="preserve">Browser-readable pre/post templates</t>
  </si>
  <si>
    <t xml:space="preserve">Content matches DOCX pack</t>
  </si>
  <si>
    <t xml:space="preserve">examples.html</t>
  </si>
  <si>
    <t xml:space="preserve">Browser-readable synthetic inputs</t>
  </si>
  <si>
    <t xml:space="preserve">Workshop/rehearsal</t>
  </si>
  <si>
    <t xml:space="preserve">No PII; transcript and FAQ included</t>
  </si>
  <si>
    <t xml:space="preserve">scoring-guide.html</t>
  </si>
  <si>
    <t xml:space="preserve">Browser-readable answer key and rubric</t>
  </si>
  <si>
    <t xml:space="preserve">Content matches DOCX scorecard</t>
  </si>
  <si>
    <t xml:space="preserve">Tentative Public Links</t>
  </si>
  <si>
    <t xml:space="preserve">These GitHub Pages URLs become live after the public workshop PR merges to microsoft/aibast-agents-library main.</t>
  </si>
  <si>
    <t xml:space="preserve">Asset</t>
  </si>
  <si>
    <t xml:space="preserve">Tentative published URL</t>
  </si>
  <si>
    <t xml:space="preserve">Source branch URL</t>
  </si>
  <si>
    <t xml:space="preserve">Availability</t>
  </si>
  <si>
    <t xml:space="preserve">Use</t>
  </si>
  <si>
    <t xml:space="preserve">Review owner</t>
  </si>
  <si>
    <t xml:space="preserve">Last verified</t>
  </si>
  <si>
    <t xml:space="preserve">Workshop landing page</t>
  </si>
  <si>
    <t xml:space="preserve">https://microsoft.github.io/aibast-agents-library/docs/rapp-workshop/</t>
  </si>
  <si>
    <t xml:space="preserve">https://github.com/kody-w/aibast-agents-library/blob/docs/fy27-rapp-workshop/docs/rapp-workshop/index.html</t>
  </si>
  <si>
    <t xml:space="preserve">After PR merge</t>
  </si>
  <si>
    <t xml:space="preserve">Public entry point</t>
  </si>
  <si>
    <t xml:space="preserve">Web owner</t>
  </si>
  <si>
    <t xml:space="preserve">2026-07-13</t>
  </si>
  <si>
    <t xml:space="preserve">Accessible HTML overview and download index</t>
  </si>
  <si>
    <t xml:space="preserve">BOM - online HTML</t>
  </si>
  <si>
    <t xml:space="preserve">https://microsoft.github.io/aibast-agents-library/docs/rapp-workshop/bom.html</t>
  </si>
  <si>
    <t xml:space="preserve">https://github.com/kody-w/aibast-agents-library/blob/docs/fy27-rapp-workshop/docs/rapp-workshop/bom.html</t>
  </si>
  <si>
    <t xml:space="preserve">Portable BOM/readiness review</t>
  </si>
  <si>
    <t xml:space="preserve">References the local XLSX download and tentative published URLs</t>
  </si>
  <si>
    <t xml:space="preserve">Facilitator runbook - HTML</t>
  </si>
  <si>
    <t xml:space="preserve">https://microsoft.github.io/aibast-agents-library/docs/rapp-workshop/facilitator-runbook.html</t>
  </si>
  <si>
    <t xml:space="preserve">https://github.com/kody-w/aibast-agents-library/blob/docs/fy27-rapp-workshop/docs/rapp-workshop/facilitator-runbook.html</t>
  </si>
  <si>
    <t xml:space="preserve">Step-by-step local-first delivery page</t>
  </si>
  <si>
    <t xml:space="preserve">Contextual links to each relevant BOM artifact</t>
  </si>
  <si>
    <t xml:space="preserve">Facilitator guide - HTML</t>
  </si>
  <si>
    <t xml:space="preserve">https://microsoft.github.io/aibast-agents-library/docs/rapp-workshop/facilitator-guide.html</t>
  </si>
  <si>
    <t xml:space="preserve">https://github.com/kody-w/aibast-agents-library/blob/docs/fy27-rapp-workshop/docs/rapp-workshop/facilitator-guide.html</t>
  </si>
  <si>
    <t xml:space="preserve">Portable browser runbook</t>
  </si>
  <si>
    <t xml:space="preserve">Same source content as DOCX</t>
  </si>
  <si>
    <t xml:space="preserve">Customer communications - HTML</t>
  </si>
  <si>
    <t xml:space="preserve">https://microsoft.github.io/aibast-agents-library/docs/rapp-workshop/customer-communications.html</t>
  </si>
  <si>
    <t xml:space="preserve">https://github.com/kody-w/aibast-agents-library/blob/docs/fy27-rapp-workshop/docs/rapp-workshop/customer-communications.html</t>
  </si>
  <si>
    <t xml:space="preserve">Portable pre/post templates</t>
  </si>
  <si>
    <t xml:space="preserve">Example inputs - HTML</t>
  </si>
  <si>
    <t xml:space="preserve">https://microsoft.github.io/aibast-agents-library/docs/rapp-workshop/examples.html</t>
  </si>
  <si>
    <t xml:space="preserve">https://github.com/kody-w/aibast-agents-library/blob/docs/fy27-rapp-workshop/docs/rapp-workshop/examples.html</t>
  </si>
  <si>
    <t xml:space="preserve">Portable synthetic inputs</t>
  </si>
  <si>
    <t xml:space="preserve">No PII</t>
  </si>
  <si>
    <t xml:space="preserve">Scoring guide - HTML</t>
  </si>
  <si>
    <t xml:space="preserve">https://microsoft.github.io/aibast-agents-library/docs/rapp-workshop/scoring-guide.html</t>
  </si>
  <si>
    <t xml:space="preserve">https://github.com/kody-w/aibast-agents-library/blob/docs/fy27-rapp-workshop/docs/rapp-workshop/scoring-guide.html</t>
  </si>
  <si>
    <t xml:space="preserve">Portable rehearsal answer key</t>
  </si>
  <si>
    <t xml:space="preserve">Workshop deck</t>
  </si>
  <si>
    <t xml:space="preserve">https://microsoft.github.io/aibast-agents-library/docs/rapp-workshop/downloads/FY27%20RAPP%20Workshop%20Deck.pptx</t>
  </si>
  <si>
    <t xml:space="preserve">https://github.com/kody-w/aibast-agents-library/blob/docs/fy27-rapp-workshop/docs/rapp-workshop/downloads/FY27%20RAPP%20Workshop%20Deck.pptx</t>
  </si>
  <si>
    <t xml:space="preserve">Participant presentation</t>
  </si>
  <si>
    <t xml:space="preserve">PowerPoint-compatible; talk track is in facilitator guide</t>
  </si>
  <si>
    <t xml:space="preserve">https://microsoft.github.io/aibast-agents-library/docs/rapp-workshop/downloads/FY27%20RAPP%20Facilitator%20Guide.docx</t>
  </si>
  <si>
    <t xml:space="preserve">https://github.com/kody-w/aibast-agents-library/blob/docs/fy27-rapp-workshop/docs/rapp-workshop/downloads/FY27%20RAPP%20Facilitator%20Guide.docx</t>
  </si>
  <si>
    <t xml:space="preserve">Delivery runbook</t>
  </si>
  <si>
    <t xml:space="preserve">Prepare, rehearse, deliver, recover, follow up</t>
  </si>
  <si>
    <t xml:space="preserve">Customer communications</t>
  </si>
  <si>
    <t xml:space="preserve">https://microsoft.github.io/aibast-agents-library/docs/rapp-workshop/downloads/FY27%20RAPP%20Customer%20Communications%20Pack.docx</t>
  </si>
  <si>
    <t xml:space="preserve">https://github.com/kody-w/aibast-agents-library/blob/docs/fy27-rapp-workshop/docs/rapp-workshop/downloads/FY27%20RAPP%20Customer%20Communications%20Pack.docx</t>
  </si>
  <si>
    <t xml:space="preserve">Replace template tokens before sending</t>
  </si>
  <si>
    <t xml:space="preserve">BOM and readiness</t>
  </si>
  <si>
    <t xml:space="preserve">https://microsoft.github.io/aibast-agents-library/docs/rapp-workshop/downloads/FY27%20RAPP%20Workshop%20BOM%20and%20Readiness.xlsx</t>
  </si>
  <si>
    <t xml:space="preserve">https://github.com/kody-w/aibast-agents-library/blob/docs/fy27-rapp-workshop/docs/rapp-workshop/downloads/FY27%20RAPP%20Workshop%20BOM%20and%20Readiness.xlsx</t>
  </si>
  <si>
    <t xml:space="preserve">Readiness and ownership</t>
  </si>
  <si>
    <t xml:space="preserve">This workbook</t>
  </si>
  <si>
    <t xml:space="preserve">https://microsoft.github.io/aibast-agents-library/docs/rapp-workshop/downloads/Example%20Inputs/01%20Facilities%20Discovery%20Transcript.docx</t>
  </si>
  <si>
    <t xml:space="preserve">https://github.com/kody-w/aibast-agents-library/blob/docs/fy27-rapp-workshop/docs/rapp-workshop/downloads/Example%20Inputs/01%20Facilities%20Discovery%20Transcript.docx</t>
  </si>
  <si>
    <t xml:space="preserve">Synthetic narrative input</t>
  </si>
  <si>
    <t xml:space="preserve">Maintenance FAQ</t>
  </si>
  <si>
    <t xml:space="preserve">https://microsoft.github.io/aibast-agents-library/docs/rapp-workshop/downloads/Example%20Inputs/02%20Facilities%20Maintenance%20FAQ.docx</t>
  </si>
  <si>
    <t xml:space="preserve">https://github.com/kody-w/aibast-agents-library/blob/docs/fy27-rapp-workshop/docs/rapp-workshop/downloads/Example%20Inputs/02%20Facilities%20Maintenance%20FAQ.docx</t>
  </si>
  <si>
    <t xml:space="preserve">Synthetic knowledge input</t>
  </si>
  <si>
    <t xml:space="preserve">Sample requests</t>
  </si>
  <si>
    <t xml:space="preserve">https://microsoft.github.io/aibast-agents-library/docs/rapp-workshop/downloads/Example%20Inputs/03%20Sample%20Service%20Requests.xlsx</t>
  </si>
  <si>
    <t xml:space="preserve">https://github.com/kody-w/aibast-agents-library/blob/docs/fy27-rapp-workshop/docs/rapp-workshop/downloads/Example%20Inputs/03%20Sample%20Service%20Requests.xlsx</t>
  </si>
  <si>
    <t xml:space="preserve">Synthetic structured input</t>
  </si>
  <si>
    <t xml:space="preserve">Fallback facilities agent</t>
  </si>
  <si>
    <t xml:space="preserve">https://microsoft.github.io/aibast-agents-library/docs/rapp-workshop/downloads/Example%20Inputs/facilities_request_agent.py</t>
  </si>
  <si>
    <t xml:space="preserve">https://github.com/kody-w/aibast-agents-library/blob/docs/fy27-rapp-workshop/docs/rapp-workshop/downloads/Example%20Inputs/facilities_request_agent.py</t>
  </si>
  <si>
    <t xml:space="preserve">Known-good local workshop fallback</t>
  </si>
  <si>
    <t xml:space="preserve">Brainstem-ready one-file agent</t>
  </si>
  <si>
    <t xml:space="preserve">Expected MVP and scoring</t>
  </si>
  <si>
    <t xml:space="preserve">https://microsoft.github.io/aibast-agents-library/docs/rapp-workshop/downloads/Facilitator%20Rehearsal/Expected%20MVP%20and%20Scoring%20Guide.docx</t>
  </si>
  <si>
    <t xml:space="preserve">https://github.com/kody-w/aibast-agents-library/blob/docs/fy27-rapp-workshop/docs/rapp-workshop/downloads/Facilitator%20Rehearsal/Expected%20MVP%20and%20Scoring%20Guide.docx</t>
  </si>
  <si>
    <t xml:space="preserve">Rehearsal answer key</t>
  </si>
  <si>
    <t xml:space="preserve">Facilitator-facing but publicly safe</t>
  </si>
  <si>
    <t xml:space="preserve">Workshop extension agent</t>
  </si>
  <si>
    <t xml:space="preserve">https://microsoft.github.io/aibast-agents-library/docs/rapp-workshop/downloads/Optional%20Extension/rapp_copilot_studio_extension_agent.py</t>
  </si>
  <si>
    <t xml:space="preserve">https://github.com/kody-w/aibast-agents-library/blob/docs/fy27-rapp-workshop/docs/rapp-workshop/downloads/Optional%20Extension/rapp_copilot_studio_extension_agent.py</t>
  </si>
  <si>
    <t xml:space="preserve">Teams-shareable optional extension</t>
  </si>
  <si>
    <t xml:space="preserve">Local HTML + solution ZIP fallback; connected deployment requires separate rights</t>
  </si>
  <si>
    <t xml:space="preserve">Transcript2Prototype agent</t>
  </si>
  <si>
    <t xml:space="preserve">https://microsoft.github.io/aibast-agents-library/docs/rapp-workshop/downloads/Optional%20Extension/transcript2prototype_agent.py</t>
  </si>
  <si>
    <t xml:space="preserve">https://github.com/kody-w/aibast-agents-library/blob/docs/fy27-rapp-workshop/docs/rapp-workshop/downloads/Optional%20Extension/transcript2prototype_agent.py</t>
  </si>
  <si>
    <t xml:space="preserve">Advanced local prototype pipeline</t>
  </si>
  <si>
    <t xml:space="preserve">Facilitator download for Brainstem import</t>
  </si>
  <si>
    <t xml:space="preserve">Connected solution companion</t>
  </si>
  <si>
    <t xml:space="preserve">https://microsoft.github.io/aibast-agents-library/docs/rapp-workshop/downloads/Optional%20Extension/connected_solution_agent.py</t>
  </si>
  <si>
    <t xml:space="preserve">https://github.com/kody-w/aibast-agents-library/blob/docs/fy27-rapp-workshop/docs/rapp-workshop/downloads/Optional%20Extension/connected_solution_agent.py</t>
  </si>
  <si>
    <t xml:space="preserve">Embedded/advanced solution packager</t>
  </si>
  <si>
    <t xml:space="preserve">Companion source; wrapper already embeds it</t>
  </si>
  <si>
    <t xml:space="preserve">Sample local M365 demo</t>
  </si>
  <si>
    <t xml:space="preserve">https://microsoft.github.io/aibast-agents-library/docs/rapp-workshop/downloads/Optional%20Extension/Sample%20Output/FacilitiesWorkshop_M365_Demo.html</t>
  </si>
  <si>
    <t xml:space="preserve">https://github.com/kody-w/aibast-agents-library/blob/docs/fy27-rapp-workshop/docs/rapp-workshop/downloads/Optional%20Extension/Sample%20Output/FacilitiesWorkshop_M365_Demo.html</t>
  </si>
  <si>
    <t xml:space="preserve">Known-good disconnected fallback</t>
  </si>
  <si>
    <t xml:space="preserve">Static click-through demo</t>
  </si>
  <si>
    <t xml:space="preserve">Sample solution ZIP</t>
  </si>
  <si>
    <t xml:space="preserve">https://microsoft.github.io/aibast-agents-library/docs/rapp-workshop/downloads/Optional%20Extension/Sample%20Output/FacilitiesWorkshop_CopilotStudio_Solution.zip</t>
  </si>
  <si>
    <t xml:space="preserve">https://github.com/kody-w/aibast-agents-library/blob/docs/fy27-rapp-workshop/docs/rapp-workshop/downloads/Optional%20Extension/Sample%20Output/FacilitiesWorkshop_CopilotStudio_Solution.zip</t>
  </si>
  <si>
    <t xml:space="preserve">Known-good manual import fallback</t>
  </si>
  <si>
    <t xml:space="preserve">Validated workshop sample</t>
  </si>
  <si>
    <t xml:space="preserve">Test &amp; Eval seed JSON</t>
  </si>
  <si>
    <t xml:space="preserve">https://microsoft.github.io/aibast-agents-library/docs/rapp-workshop/downloads/Test%20%26%20Eval/rapp_evaluation_seed.json</t>
  </si>
  <si>
    <t xml:space="preserve">https://github.com/kody-w/aibast-agents-library/blob/docs/fy27-rapp-workshop/docs/rapp-workshop/downloads/Test%20%26%20Eval/rapp_evaluation_seed.json</t>
  </si>
  <si>
    <t xml:space="preserve">Seed cases for existing evaluation harness</t>
  </si>
  <si>
    <t xml:space="preserve">Does not create a repo or GitHub Actions pipeline</t>
  </si>
  <si>
    <t xml:space="preserve">PR compare link</t>
  </si>
  <si>
    <t xml:space="preserve">https://github.com/microsoft/aibast-agents-library/compare/main...kody-w:aibast-agents-library:docs/fy27-rapp-workshop?expand=1</t>
  </si>
  <si>
    <t xml:space="preserve">Available now</t>
  </si>
  <si>
    <t xml:space="preserve">Open or complete the PR</t>
  </si>
  <si>
    <t xml:space="preserve">Repository maintainer</t>
  </si>
  <si>
    <t xml:space="preserve">Branch published</t>
  </si>
  <si>
    <t xml:space="preserve">Automated PR submission was blocked by account SAML/EMU policy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</si>
</sst>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B1A19"/>
      <name val="Arial"/>
      <family val="0"/>
      <charset val="1"/>
    </font>
    <font>
      <sz val="12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B2A4A"/>
        <bgColor rgb="FF1B1A19"/>
      </patternFill>
    </fill>
    <fill>
      <patternFill patternType="solid">
        <fgColor rgb="FFDCEEFF"/>
        <bgColor rgb="FFDFF6DD"/>
      </patternFill>
    </fill>
    <fill>
      <patternFill patternType="solid">
        <fgColor rgb="FF005A9E"/>
        <bgColor rgb="FF008080"/>
      </patternFill>
    </fill>
    <fill>
      <patternFill patternType="solid">
        <fgColor rgb="FF8661C5"/>
        <bgColor rgb="FF808080"/>
      </patternFill>
    </fill>
    <fill>
      <patternFill patternType="solid">
        <fgColor rgb="FF107C10"/>
        <bgColor rgb="FF008080"/>
      </patternFill>
    </fill>
    <fill>
      <patternFill patternType="solid">
        <fgColor rgb="FFA4262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2D0C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0">
    <dxf>
      <fill>
        <patternFill patternType="solid">
          <fgColor rgb="FF0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B1A19"/>
          <bgColor rgb="FF000000"/>
        </patternFill>
      </fill>
    </dxf>
    <dxf>
      <fill>
        <patternFill patternType="solid">
          <fgColor rgb="FFDCEEFF"/>
          <bgColor rgb="FF000000"/>
        </patternFill>
      </fill>
    </dxf>
    <dxf>
      <fill>
        <patternFill>
          <bgColor rgb="FFDFF6DD"/>
        </patternFill>
      </fill>
    </dxf>
    <dxf>
      <fill>
        <patternFill>
          <bgColor rgb="FFFDE7E9"/>
        </patternFill>
      </fill>
    </dxf>
    <dxf>
      <fill>
        <patternFill patternType="solid">
          <fgColor rgb="FF005A9E"/>
          <bgColor rgb="FF000000"/>
        </patternFill>
      </fill>
    </dxf>
    <dxf>
      <fill>
        <patternFill patternType="solid">
          <fgColor rgb="FF8661C5"/>
          <bgColor rgb="FF000000"/>
        </patternFill>
      </fill>
    </dxf>
    <dxf>
      <fill>
        <patternFill patternType="solid">
          <fgColor rgb="FF107C10"/>
          <bgColor rgb="FF000000"/>
        </patternFill>
      </fill>
    </dxf>
    <dxf>
      <fill>
        <patternFill patternType="solid">
          <fgColor rgb="FFA4262C"/>
          <bgColor rgb="FF000000"/>
        </patternFill>
      </fill>
    </dxf>
  </dxfs>
  <colors>
    <indexedColors>
      <rgbColor rgb="FF000000"/>
      <rgbColor rgb="FFFDE7E9"/>
      <rgbColor rgb="FFFF0000"/>
      <rgbColor rgb="FF00FF00"/>
      <rgbColor rgb="FF0000FF"/>
      <rgbColor rgb="FFFFFF00"/>
      <rgbColor rgb="FFFF00FF"/>
      <rgbColor rgb="FF00FFFF"/>
      <rgbColor rgb="FF800000"/>
      <rgbColor rgb="FF107C10"/>
      <rgbColor rgb="FF000080"/>
      <rgbColor rgb="FF808000"/>
      <rgbColor rgb="FF800080"/>
      <rgbColor rgb="FF008080"/>
      <rgbColor rgb="FFD2D0CE"/>
      <rgbColor rgb="FF808080"/>
      <rgbColor rgb="FF9999FF"/>
      <rgbColor rgb="FF993366"/>
      <rgbColor rgb="FFFFFFCC"/>
      <rgbColor rgb="FFDCEEFF"/>
      <rgbColor rgb="FF660066"/>
      <rgbColor rgb="FFFF8080"/>
      <rgbColor rgb="FF005A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6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8661C5"/>
      <rgbColor rgb="FF969696"/>
      <rgbColor rgb="FF0B2A4A"/>
      <rgbColor rgb="FF339966"/>
      <rgbColor rgb="FF003300"/>
      <rgbColor rgb="FF1B1A19"/>
      <rgbColor rgb="FFA426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BOMTable" displayName="BOMTable" ref="A4:I30" headerRowCount="1" totalsRowCount="0" totalsRowShown="0">
  <autoFilter ref="A4:I30"/>
  <tableColumns count="9">
    <tableColumn id="1" name="ID"/>
    <tableColumn id="2" name="Workstream"/>
    <tableColumn id="3" name="Item"/>
    <tableColumn id="4" name="Actionable example"/>
    <tableColumn id="5" name="Owner"/>
    <tableColumn id="6" name="Due"/>
    <tableColumn id="7" name="Acceptance criterion"/>
    <tableColumn id="8" name="Evidence / location"/>
    <tableColumn id="9" name="Status"/>
  </tableColumns>
</table>
</file>

<file path=xl/tables/table2.xml><?xml version="1.0" encoding="utf-8"?>
<table xmlns="http://schemas.openxmlformats.org/spreadsheetml/2006/main" id="2" name="EvalHandoffTable" displayName="EvalHandoffTable" ref="A4:I12" headerRowCount="1" totalsRowCount="0" totalsRowShown="0">
  <autoFilter ref="A4:I12"/>
  <tableColumns count="9">
    <tableColumn id="1" name="Deliverable"/>
    <tableColumn id="2" name="Workshop produces"/>
    <tableColumn id="3" name="Confirm existing customer asset"/>
    <tableColumn id="4" name="Handoff format"/>
    <tableColumn id="5" name="Downstream owner"/>
    <tableColumn id="6" name="Status"/>
    <tableColumn id="7" name="No-duplication note"/>
    <tableColumn id="8" name="Evidence link"/>
    <tableColumn id="9" name="Due"/>
  </tableColumns>
</table>
</file>

<file path=xl/tables/table3.xml><?xml version="1.0" encoding="utf-8"?>
<table xmlns="http://schemas.openxmlformats.org/spreadsheetml/2006/main" id="3" name="ManifestTable" displayName="ManifestTable" ref="A4:I24" headerRowCount="1" totalsRowCount="0" totalsRowShown="0">
  <autoFilter ref="A4:I24"/>
  <tableColumns count="9">
    <tableColumn id="1" name="File"/>
    <tableColumn id="2" name="Audience"/>
    <tableColumn id="3" name="Purpose"/>
    <tableColumn id="4" name="Use when"/>
    <tableColumn id="5" name="Acceptance check"/>
    <tableColumn id="6" name="Location"/>
    <tableColumn id="7" name="Owner"/>
    <tableColumn id="8" name="Version"/>
    <tableColumn id="9" name="Status"/>
  </tableColumns>
</table>
</file>

<file path=xl/tables/table4.xml><?xml version="1.0" encoding="utf-8"?>
<table xmlns="http://schemas.openxmlformats.org/spreadsheetml/2006/main" id="4" name="PublicLinksTable" displayName="PublicLinksTable" ref="A4:I27" headerRowCount="1" totalsRowCount="0" totalsRowShown="0">
  <autoFilter ref="A4:I27"/>
  <tableColumns count="9">
    <tableColumn id="1" name="Asset"/>
    <tableColumn id="2" name="Tentative published URL"/>
    <tableColumn id="3" name="Source branch URL"/>
    <tableColumn id="4" name="Availability"/>
    <tableColumn id="5" name="Use"/>
    <tableColumn id="6" name="Review owner"/>
    <tableColumn id="7" name="Last verified"/>
    <tableColumn id="8" name="Status"/>
    <tableColumn id="9" name="Notes"/>
  </tableColumns>
</table>
</file>

<file path=xl/tables/table5.xml><?xml version="1.0" encoding="utf-8"?>
<table xmlns="http://schemas.openxmlformats.org/spreadsheetml/2006/main" id="5" name="RehearsalTable" displayName="RehearsalTable" ref="A4:I8" headerRowCount="1" totalsRowCount="0" totalsRowShown="0">
  <autoFilter ref="A4:I8"/>
  <tableColumns count="9">
    <tableColumn id="1" name="Pass"/>
    <tableColumn id="2" name="Objective"/>
    <tableColumn id="3" name="Duration"/>
    <tableColumn id="4" name="Facilitator actions"/>
    <tableColumn id="5" name="Artifacts"/>
    <tableColumn id="6" name="Pass criteria"/>
    <tableColumn id="7" name="Fallback drill"/>
    <tableColumn id="8" name="Actual"/>
    <tableColumn id="9" name="Status"/>
  </tableColumns>
</table>
</file>

<file path=xl/tables/table6.xml><?xml version="1.0" encoding="utf-8"?>
<table xmlns="http://schemas.openxmlformats.org/spreadsheetml/2006/main" id="6" name="RiskTable" displayName="RiskTable" ref="A4:I14" headerRowCount="1" totalsRowCount="0" totalsRowShown="0">
  <autoFilter ref="A4:I14"/>
  <tableColumns count="9">
    <tableColumn id="1" name="ID"/>
    <tableColumn id="2" name="Risk"/>
    <tableColumn id="3" name="Trigger"/>
    <tableColumn id="4" name="Prevention"/>
    <tableColumn id="5" name="Three-minute recovery"/>
    <tableColumn id="6" name="Owner"/>
    <tableColumn id="7" name="Impact"/>
    <tableColumn id="8" name="Likelihood"/>
    <tableColumn id="9" name="Status"/>
  </tableColumns>
</table>
</file>

<file path=xl/tables/table7.xml><?xml version="1.0" encoding="utf-8"?>
<table xmlns="http://schemas.openxmlformats.org/spreadsheetml/2006/main" id="7" name="RunOfShowTable" displayName="RunOfShowTable" ref="A4:I12" headerRowCount="1" totalsRowCount="0" totalsRowShown="0">
  <autoFilter ref="A4:I12"/>
  <tableColumns count="9">
    <tableColumn id="1" name="Time"/>
    <tableColumn id="2" name="Slides"/>
    <tableColumn id="3" name="Facilitator move"/>
    <tableColumn id="4" name="Participant action"/>
    <tableColumn id="5" name="Required output"/>
    <tableColumn id="6" name="Recovery if late"/>
    <tableColumn id="7" name="Owner"/>
    <tableColumn id="8" name="Notes"/>
    <tableColumn id="9" name="Status"/>
  </tableColumns>
</table>
</file>

<file path=xl/tables/table8.xml><?xml version="1.0" encoding="utf-8"?>
<table xmlns="http://schemas.openxmlformats.org/spreadsheetml/2006/main" id="8" name="TouchpointTable" displayName="TouchpointTable" ref="A4:I12" headerRowCount="1" totalsRowCount="0" totalsRowShown="0">
  <autoFilter ref="A4:I12"/>
  <tableColumns count="9">
    <tableColumn id="1" name="Timing"/>
    <tableColumn id="2" name="Audience"/>
    <tableColumn id="3" name="Channel"/>
    <tableColumn id="4" name="Template"/>
    <tableColumn id="5" name="Required action"/>
    <tableColumn id="6" name="Response / evidence"/>
    <tableColumn id="7" name="Owner"/>
    <tableColumn id="8" name="Due"/>
    <tableColumn id="9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microsoft.github.io/aibast-agents-library/docs/rapp-workshop/" TargetMode="External"/><Relationship Id="rId2" Type="http://schemas.openxmlformats.org/officeDocument/2006/relationships/hyperlink" Target="https://github.com/kody-w/aibast-agents-library/blob/docs/fy27-rapp-workshop/docs/rapp-workshop/index.html" TargetMode="External"/><Relationship Id="rId3" Type="http://schemas.openxmlformats.org/officeDocument/2006/relationships/hyperlink" Target="https://microsoft.github.io/aibast-agents-library/docs/rapp-workshop/bom.html" TargetMode="External"/><Relationship Id="rId4" Type="http://schemas.openxmlformats.org/officeDocument/2006/relationships/hyperlink" Target="https://github.com/kody-w/aibast-agents-library/blob/docs/fy27-rapp-workshop/docs/rapp-workshop/bom.html" TargetMode="External"/><Relationship Id="rId5" Type="http://schemas.openxmlformats.org/officeDocument/2006/relationships/hyperlink" Target="https://microsoft.github.io/aibast-agents-library/docs/rapp-workshop/facilitator-runbook.html" TargetMode="External"/><Relationship Id="rId6" Type="http://schemas.openxmlformats.org/officeDocument/2006/relationships/hyperlink" Target="https://github.com/kody-w/aibast-agents-library/blob/docs/fy27-rapp-workshop/docs/rapp-workshop/facilitator-runbook.html" TargetMode="External"/><Relationship Id="rId7" Type="http://schemas.openxmlformats.org/officeDocument/2006/relationships/hyperlink" Target="https://microsoft.github.io/aibast-agents-library/docs/rapp-workshop/facilitator-guide.html" TargetMode="External"/><Relationship Id="rId8" Type="http://schemas.openxmlformats.org/officeDocument/2006/relationships/hyperlink" Target="https://github.com/kody-w/aibast-agents-library/blob/docs/fy27-rapp-workshop/docs/rapp-workshop/facilitator-guide.html" TargetMode="External"/><Relationship Id="rId9" Type="http://schemas.openxmlformats.org/officeDocument/2006/relationships/hyperlink" Target="https://microsoft.github.io/aibast-agents-library/docs/rapp-workshop/customer-communications.html" TargetMode="External"/><Relationship Id="rId10" Type="http://schemas.openxmlformats.org/officeDocument/2006/relationships/hyperlink" Target="https://github.com/kody-w/aibast-agents-library/blob/docs/fy27-rapp-workshop/docs/rapp-workshop/customer-communications.html" TargetMode="External"/><Relationship Id="rId11" Type="http://schemas.openxmlformats.org/officeDocument/2006/relationships/hyperlink" Target="https://microsoft.github.io/aibast-agents-library/docs/rapp-workshop/examples.html" TargetMode="External"/><Relationship Id="rId12" Type="http://schemas.openxmlformats.org/officeDocument/2006/relationships/hyperlink" Target="https://github.com/kody-w/aibast-agents-library/blob/docs/fy27-rapp-workshop/docs/rapp-workshop/examples.html" TargetMode="External"/><Relationship Id="rId13" Type="http://schemas.openxmlformats.org/officeDocument/2006/relationships/hyperlink" Target="https://microsoft.github.io/aibast-agents-library/docs/rapp-workshop/scoring-guide.html" TargetMode="External"/><Relationship Id="rId14" Type="http://schemas.openxmlformats.org/officeDocument/2006/relationships/hyperlink" Target="https://github.com/kody-w/aibast-agents-library/blob/docs/fy27-rapp-workshop/docs/rapp-workshop/scoring-guide.html" TargetMode="External"/><Relationship Id="rId15" Type="http://schemas.openxmlformats.org/officeDocument/2006/relationships/hyperlink" Target="https://microsoft.github.io/aibast-agents-library/docs/rapp-workshop/downloads/FY27%20RAPP%20Workshop%20Deck.pptx" TargetMode="External"/><Relationship Id="rId16" Type="http://schemas.openxmlformats.org/officeDocument/2006/relationships/hyperlink" Target="https://github.com/kody-w/aibast-agents-library/blob/docs/fy27-rapp-workshop/docs/rapp-workshop/downloads/FY27%20RAPP%20Workshop%20Deck.pptx" TargetMode="External"/><Relationship Id="rId17" Type="http://schemas.openxmlformats.org/officeDocument/2006/relationships/hyperlink" Target="https://microsoft.github.io/aibast-agents-library/docs/rapp-workshop/downloads/FY27%20RAPP%20Facilitator%20Guide.docx" TargetMode="External"/><Relationship Id="rId18" Type="http://schemas.openxmlformats.org/officeDocument/2006/relationships/hyperlink" Target="https://github.com/kody-w/aibast-agents-library/blob/docs/fy27-rapp-workshop/docs/rapp-workshop/downloads/FY27%20RAPP%20Facilitator%20Guide.docx" TargetMode="External"/><Relationship Id="rId19" Type="http://schemas.openxmlformats.org/officeDocument/2006/relationships/hyperlink" Target="https://microsoft.github.io/aibast-agents-library/docs/rapp-workshop/downloads/FY27%20RAPP%20Customer%20Communications%20Pack.docx" TargetMode="External"/><Relationship Id="rId20" Type="http://schemas.openxmlformats.org/officeDocument/2006/relationships/hyperlink" Target="https://github.com/kody-w/aibast-agents-library/blob/docs/fy27-rapp-workshop/docs/rapp-workshop/downloads/FY27%20RAPP%20Customer%20Communications%20Pack.docx" TargetMode="External"/><Relationship Id="rId21" Type="http://schemas.openxmlformats.org/officeDocument/2006/relationships/hyperlink" Target="https://microsoft.github.io/aibast-agents-library/docs/rapp-workshop/downloads/FY27%20RAPP%20Workshop%20BOM%20and%20Readiness.xlsx" TargetMode="External"/><Relationship Id="rId22" Type="http://schemas.openxmlformats.org/officeDocument/2006/relationships/hyperlink" Target="https://github.com/kody-w/aibast-agents-library/blob/docs/fy27-rapp-workshop/docs/rapp-workshop/downloads/FY27%20RAPP%20Workshop%20BOM%20and%20Readiness.xlsx" TargetMode="External"/><Relationship Id="rId23" Type="http://schemas.openxmlformats.org/officeDocument/2006/relationships/hyperlink" Target="https://microsoft.github.io/aibast-agents-library/docs/rapp-workshop/downloads/Example%20Inputs/01%20Facilities%20Discovery%20Transcript.docx" TargetMode="External"/><Relationship Id="rId24" Type="http://schemas.openxmlformats.org/officeDocument/2006/relationships/hyperlink" Target="https://github.com/kody-w/aibast-agents-library/blob/docs/fy27-rapp-workshop/docs/rapp-workshop/downloads/Example%20Inputs/01%20Facilities%20Discovery%20Transcript.docx" TargetMode="External"/><Relationship Id="rId25" Type="http://schemas.openxmlformats.org/officeDocument/2006/relationships/hyperlink" Target="https://microsoft.github.io/aibast-agents-library/docs/rapp-workshop/downloads/Example%20Inputs/02%20Facilities%20Maintenance%20FAQ.docx" TargetMode="External"/><Relationship Id="rId26" Type="http://schemas.openxmlformats.org/officeDocument/2006/relationships/hyperlink" Target="https://github.com/kody-w/aibast-agents-library/blob/docs/fy27-rapp-workshop/docs/rapp-workshop/downloads/Example%20Inputs/02%20Facilities%20Maintenance%20FAQ.docx" TargetMode="External"/><Relationship Id="rId27" Type="http://schemas.openxmlformats.org/officeDocument/2006/relationships/hyperlink" Target="https://microsoft.github.io/aibast-agents-library/docs/rapp-workshop/downloads/Example%20Inputs/03%20Sample%20Service%20Requests.xlsx" TargetMode="External"/><Relationship Id="rId28" Type="http://schemas.openxmlformats.org/officeDocument/2006/relationships/hyperlink" Target="https://github.com/kody-w/aibast-agents-library/blob/docs/fy27-rapp-workshop/docs/rapp-workshop/downloads/Example%20Inputs/03%20Sample%20Service%20Requests.xlsx" TargetMode="External"/><Relationship Id="rId29" Type="http://schemas.openxmlformats.org/officeDocument/2006/relationships/hyperlink" Target="https://microsoft.github.io/aibast-agents-library/docs/rapp-workshop/downloads/Example%20Inputs/facilities_request_agent.py" TargetMode="External"/><Relationship Id="rId30" Type="http://schemas.openxmlformats.org/officeDocument/2006/relationships/hyperlink" Target="https://github.com/kody-w/aibast-agents-library/blob/docs/fy27-rapp-workshop/docs/rapp-workshop/downloads/Example%20Inputs/facilities_request_agent.py" TargetMode="External"/><Relationship Id="rId31" Type="http://schemas.openxmlformats.org/officeDocument/2006/relationships/hyperlink" Target="https://microsoft.github.io/aibast-agents-library/docs/rapp-workshop/downloads/Facilitator%20Rehearsal/Expected%20MVP%20and%20Scoring%20Guide.docx" TargetMode="External"/><Relationship Id="rId32" Type="http://schemas.openxmlformats.org/officeDocument/2006/relationships/hyperlink" Target="https://github.com/kody-w/aibast-agents-library/blob/docs/fy27-rapp-workshop/docs/rapp-workshop/downloads/Facilitator%20Rehearsal/Expected%20MVP%20and%20Scoring%20Guide.docx" TargetMode="External"/><Relationship Id="rId33" Type="http://schemas.openxmlformats.org/officeDocument/2006/relationships/hyperlink" Target="https://microsoft.github.io/aibast-agents-library/docs/rapp-workshop/downloads/Optional%20Extension/rapp_copilot_studio_extension_agent.py" TargetMode="External"/><Relationship Id="rId34" Type="http://schemas.openxmlformats.org/officeDocument/2006/relationships/hyperlink" Target="https://github.com/kody-w/aibast-agents-library/blob/docs/fy27-rapp-workshop/docs/rapp-workshop/downloads/Optional%20Extension/rapp_copilot_studio_extension_agent.py" TargetMode="External"/><Relationship Id="rId35" Type="http://schemas.openxmlformats.org/officeDocument/2006/relationships/hyperlink" Target="https://microsoft.github.io/aibast-agents-library/docs/rapp-workshop/downloads/Optional%20Extension/transcript2prototype_agent.py" TargetMode="External"/><Relationship Id="rId36" Type="http://schemas.openxmlformats.org/officeDocument/2006/relationships/hyperlink" Target="https://github.com/kody-w/aibast-agents-library/blob/docs/fy27-rapp-workshop/docs/rapp-workshop/downloads/Optional%20Extension/transcript2prototype_agent.py" TargetMode="External"/><Relationship Id="rId37" Type="http://schemas.openxmlformats.org/officeDocument/2006/relationships/hyperlink" Target="https://microsoft.github.io/aibast-agents-library/docs/rapp-workshop/downloads/Optional%20Extension/connected_solution_agent.py" TargetMode="External"/><Relationship Id="rId38" Type="http://schemas.openxmlformats.org/officeDocument/2006/relationships/hyperlink" Target="https://github.com/kody-w/aibast-agents-library/blob/docs/fy27-rapp-workshop/docs/rapp-workshop/downloads/Optional%20Extension/connected_solution_agent.py" TargetMode="External"/><Relationship Id="rId39" Type="http://schemas.openxmlformats.org/officeDocument/2006/relationships/hyperlink" Target="https://microsoft.github.io/aibast-agents-library/docs/rapp-workshop/downloads/Optional%20Extension/Sample%20Output/FacilitiesWorkshop_M365_Demo.html" TargetMode="External"/><Relationship Id="rId40" Type="http://schemas.openxmlformats.org/officeDocument/2006/relationships/hyperlink" Target="https://github.com/kody-w/aibast-agents-library/blob/docs/fy27-rapp-workshop/docs/rapp-workshop/downloads/Optional%20Extension/Sample%20Output/FacilitiesWorkshop_M365_Demo.html" TargetMode="External"/><Relationship Id="rId41" Type="http://schemas.openxmlformats.org/officeDocument/2006/relationships/hyperlink" Target="https://microsoft.github.io/aibast-agents-library/docs/rapp-workshop/downloads/Optional%20Extension/Sample%20Output/FacilitiesWorkshop_CopilotStudio_Solution.zip" TargetMode="External"/><Relationship Id="rId42" Type="http://schemas.openxmlformats.org/officeDocument/2006/relationships/hyperlink" Target="https://github.com/kody-w/aibast-agents-library/blob/docs/fy27-rapp-workshop/docs/rapp-workshop/downloads/Optional%20Extension/Sample%20Output/FacilitiesWorkshop_CopilotStudio_Solution.zip" TargetMode="External"/><Relationship Id="rId43" Type="http://schemas.openxmlformats.org/officeDocument/2006/relationships/hyperlink" Target="https://microsoft.github.io/aibast-agents-library/docs/rapp-workshop/downloads/Test%20%26%20Eval/rapp_evaluation_seed.json" TargetMode="External"/><Relationship Id="rId44" Type="http://schemas.openxmlformats.org/officeDocument/2006/relationships/hyperlink" Target="https://github.com/kody-w/aibast-agents-library/blob/docs/fy27-rapp-workshop/docs/rapp-workshop/downloads/Test%20%26%20Eval/rapp_evaluation_seed.json" TargetMode="External"/><Relationship Id="rId45" Type="http://schemas.openxmlformats.org/officeDocument/2006/relationships/hyperlink" Target="https://github.com/microsoft/aibast-agents-library/compare/main...kody-w:aibast-agents-library:docs/fy27-rapp-workshop?expand=1" TargetMode="External"/><Relationship Id="rId46" Type="http://schemas.openxmlformats.org/officeDocument/2006/relationships/drawing" Target="../drawings/drawing9.xml"/><Relationship Id="rId47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25"/>
    <col collapsed="false" customWidth="true" hidden="false" outlineLevel="0" max="4" min="4" style="1" width="4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42"/>
    <col collapsed="false" customWidth="true" hidden="false" outlineLevel="0" max="8" min="8" style="1" width="26"/>
    <col collapsed="false" customWidth="true" hidden="false" outlineLevel="0" max="9" min="9" style="1" width="16"/>
  </cols>
  <sheetData>
    <row r="1" customFormat="false" ht="33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customFormat="false" ht="23.85" hidden="false" customHeight="fals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23.85" hidden="false" customHeight="false" outlineLevel="0" collapsed="false">
      <c r="A6" s="4" t="s">
        <v>20</v>
      </c>
      <c r="B6" s="4" t="s">
        <v>12</v>
      </c>
      <c r="C6" s="4" t="s">
        <v>21</v>
      </c>
      <c r="D6" s="4" t="s">
        <v>22</v>
      </c>
      <c r="E6" s="4" t="s">
        <v>15</v>
      </c>
      <c r="F6" s="4" t="s">
        <v>16</v>
      </c>
      <c r="G6" s="4" t="s">
        <v>23</v>
      </c>
      <c r="H6" s="4" t="s">
        <v>18</v>
      </c>
      <c r="I6" s="4" t="s">
        <v>19</v>
      </c>
    </row>
    <row r="7" customFormat="false" ht="23.85" hidden="false" customHeight="false" outlineLevel="0" collapsed="false">
      <c r="A7" s="4" t="s">
        <v>24</v>
      </c>
      <c r="B7" s="4" t="s">
        <v>12</v>
      </c>
      <c r="C7" s="4" t="s">
        <v>25</v>
      </c>
      <c r="D7" s="4" t="s">
        <v>26</v>
      </c>
      <c r="E7" s="4" t="s">
        <v>27</v>
      </c>
      <c r="F7" s="4" t="s">
        <v>28</v>
      </c>
      <c r="G7" s="4" t="s">
        <v>29</v>
      </c>
      <c r="H7" s="4" t="s">
        <v>30</v>
      </c>
      <c r="I7" s="4" t="s">
        <v>19</v>
      </c>
    </row>
    <row r="8" customFormat="false" ht="23.85" hidden="false" customHeight="false" outlineLevel="0" collapsed="false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19</v>
      </c>
    </row>
    <row r="9" customFormat="false" ht="15" hidden="false" customHeight="false" outlineLevel="0" collapsed="false">
      <c r="A9" s="4" t="s">
        <v>39</v>
      </c>
      <c r="B9" s="4" t="s">
        <v>32</v>
      </c>
      <c r="C9" s="4" t="s">
        <v>40</v>
      </c>
      <c r="D9" s="4" t="s">
        <v>41</v>
      </c>
      <c r="E9" s="4" t="s">
        <v>35</v>
      </c>
      <c r="F9" s="4" t="s">
        <v>36</v>
      </c>
      <c r="G9" s="4" t="s">
        <v>42</v>
      </c>
      <c r="H9" s="4" t="s">
        <v>38</v>
      </c>
      <c r="I9" s="4" t="s">
        <v>19</v>
      </c>
    </row>
    <row r="10" customFormat="false" ht="23.85" hidden="false" customHeight="false" outlineLevel="0" collapsed="false">
      <c r="A10" s="4" t="s">
        <v>43</v>
      </c>
      <c r="B10" s="4" t="s">
        <v>32</v>
      </c>
      <c r="C10" s="4" t="s">
        <v>44</v>
      </c>
      <c r="D10" s="4" t="s">
        <v>45</v>
      </c>
      <c r="E10" s="4" t="s">
        <v>35</v>
      </c>
      <c r="F10" s="4" t="s">
        <v>36</v>
      </c>
      <c r="G10" s="4" t="s">
        <v>46</v>
      </c>
      <c r="H10" s="4" t="s">
        <v>38</v>
      </c>
      <c r="I10" s="4" t="s">
        <v>19</v>
      </c>
    </row>
    <row r="11" customFormat="false" ht="23.85" hidden="false" customHeight="false" outlineLevel="0" collapsed="false">
      <c r="A11" s="4" t="s">
        <v>47</v>
      </c>
      <c r="B11" s="4" t="s">
        <v>32</v>
      </c>
      <c r="C11" s="4" t="s">
        <v>48</v>
      </c>
      <c r="D11" s="4" t="s">
        <v>49</v>
      </c>
      <c r="E11" s="4" t="s">
        <v>15</v>
      </c>
      <c r="F11" s="4" t="s">
        <v>16</v>
      </c>
      <c r="G11" s="4" t="s">
        <v>50</v>
      </c>
      <c r="H11" s="4" t="s">
        <v>51</v>
      </c>
      <c r="I11" s="4" t="s">
        <v>19</v>
      </c>
    </row>
    <row r="12" customFormat="false" ht="23.85" hidden="false" customHeight="false" outlineLevel="0" collapsed="false">
      <c r="A12" s="4" t="s">
        <v>52</v>
      </c>
      <c r="B12" s="4" t="s">
        <v>53</v>
      </c>
      <c r="C12" s="4" t="s">
        <v>54</v>
      </c>
      <c r="D12" s="4" t="s">
        <v>55</v>
      </c>
      <c r="E12" s="4" t="s">
        <v>56</v>
      </c>
      <c r="F12" s="4" t="s">
        <v>57</v>
      </c>
      <c r="G12" s="4" t="s">
        <v>58</v>
      </c>
      <c r="H12" s="4" t="s">
        <v>59</v>
      </c>
      <c r="I12" s="4" t="s">
        <v>19</v>
      </c>
    </row>
    <row r="13" customFormat="false" ht="15" hidden="false" customHeight="false" outlineLevel="0" collapsed="false">
      <c r="A13" s="4" t="s">
        <v>60</v>
      </c>
      <c r="B13" s="4" t="s">
        <v>53</v>
      </c>
      <c r="C13" s="4" t="s">
        <v>61</v>
      </c>
      <c r="D13" s="4" t="s">
        <v>62</v>
      </c>
      <c r="E13" s="4" t="s">
        <v>56</v>
      </c>
      <c r="F13" s="4" t="s">
        <v>57</v>
      </c>
      <c r="G13" s="4" t="s">
        <v>63</v>
      </c>
      <c r="H13" s="4" t="s">
        <v>64</v>
      </c>
      <c r="I13" s="4" t="s">
        <v>19</v>
      </c>
    </row>
    <row r="14" customFormat="false" ht="15" hidden="false" customHeight="false" outlineLevel="0" collapsed="false">
      <c r="A14" s="4" t="s">
        <v>65</v>
      </c>
      <c r="B14" s="4" t="s">
        <v>53</v>
      </c>
      <c r="C14" s="4" t="s">
        <v>66</v>
      </c>
      <c r="D14" s="4" t="s">
        <v>67</v>
      </c>
      <c r="E14" s="4" t="s">
        <v>68</v>
      </c>
      <c r="F14" s="4" t="s">
        <v>69</v>
      </c>
      <c r="G14" s="4" t="s">
        <v>70</v>
      </c>
      <c r="H14" s="4" t="s">
        <v>71</v>
      </c>
      <c r="I14" s="4" t="s">
        <v>19</v>
      </c>
    </row>
    <row r="15" customFormat="false" ht="23.85" hidden="false" customHeight="false" outlineLevel="0" collapsed="false">
      <c r="A15" s="4" t="s">
        <v>72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36</v>
      </c>
      <c r="G15" s="4" t="s">
        <v>77</v>
      </c>
      <c r="H15" s="4" t="s">
        <v>78</v>
      </c>
      <c r="I15" s="4" t="s">
        <v>19</v>
      </c>
    </row>
    <row r="16" customFormat="false" ht="15" hidden="false" customHeight="false" outlineLevel="0" collapsed="false">
      <c r="A16" s="4" t="s">
        <v>79</v>
      </c>
      <c r="B16" s="4" t="s">
        <v>73</v>
      </c>
      <c r="C16" s="4" t="s">
        <v>80</v>
      </c>
      <c r="D16" s="4" t="s">
        <v>81</v>
      </c>
      <c r="E16" s="4" t="s">
        <v>56</v>
      </c>
      <c r="F16" s="4" t="s">
        <v>57</v>
      </c>
      <c r="G16" s="4" t="s">
        <v>82</v>
      </c>
      <c r="H16" s="4" t="s">
        <v>64</v>
      </c>
      <c r="I16" s="4" t="s">
        <v>19</v>
      </c>
    </row>
    <row r="17" customFormat="false" ht="23.85" hidden="false" customHeight="false" outlineLevel="0" collapsed="false">
      <c r="A17" s="4" t="s">
        <v>83</v>
      </c>
      <c r="B17" s="4" t="s">
        <v>73</v>
      </c>
      <c r="C17" s="4" t="s">
        <v>84</v>
      </c>
      <c r="D17" s="4" t="s">
        <v>85</v>
      </c>
      <c r="E17" s="4" t="s">
        <v>76</v>
      </c>
      <c r="F17" s="4" t="s">
        <v>16</v>
      </c>
      <c r="G17" s="4" t="s">
        <v>86</v>
      </c>
      <c r="H17" s="4" t="s">
        <v>78</v>
      </c>
      <c r="I17" s="4" t="s">
        <v>19</v>
      </c>
    </row>
    <row r="18" customFormat="false" ht="23.85" hidden="false" customHeight="false" outlineLevel="0" collapsed="false">
      <c r="A18" s="4" t="s">
        <v>87</v>
      </c>
      <c r="B18" s="4" t="s">
        <v>88</v>
      </c>
      <c r="C18" s="4" t="s">
        <v>89</v>
      </c>
      <c r="D18" s="4" t="s">
        <v>90</v>
      </c>
      <c r="E18" s="4" t="s">
        <v>91</v>
      </c>
      <c r="F18" s="4" t="s">
        <v>36</v>
      </c>
      <c r="G18" s="4" t="s">
        <v>92</v>
      </c>
      <c r="H18" s="4" t="s">
        <v>93</v>
      </c>
      <c r="I18" s="4" t="s">
        <v>94</v>
      </c>
    </row>
    <row r="19" customFormat="false" ht="23.85" hidden="false" customHeight="false" outlineLevel="0" collapsed="false">
      <c r="A19" s="4" t="s">
        <v>95</v>
      </c>
      <c r="B19" s="4" t="s">
        <v>96</v>
      </c>
      <c r="C19" s="4" t="s">
        <v>97</v>
      </c>
      <c r="D19" s="4" t="s">
        <v>98</v>
      </c>
      <c r="E19" s="4" t="s">
        <v>99</v>
      </c>
      <c r="F19" s="4" t="s">
        <v>16</v>
      </c>
      <c r="G19" s="4" t="s">
        <v>100</v>
      </c>
      <c r="H19" s="4" t="s">
        <v>78</v>
      </c>
      <c r="I19" s="4" t="s">
        <v>19</v>
      </c>
    </row>
    <row r="20" customFormat="false" ht="23.85" hidden="false" customHeight="false" outlineLevel="0" collapsed="false">
      <c r="A20" s="4" t="s">
        <v>101</v>
      </c>
      <c r="B20" s="4" t="s">
        <v>96</v>
      </c>
      <c r="C20" s="4" t="s">
        <v>102</v>
      </c>
      <c r="D20" s="4" t="s">
        <v>103</v>
      </c>
      <c r="E20" s="4" t="s">
        <v>15</v>
      </c>
      <c r="F20" s="4" t="s">
        <v>57</v>
      </c>
      <c r="G20" s="4" t="s">
        <v>104</v>
      </c>
      <c r="H20" s="4" t="s">
        <v>105</v>
      </c>
      <c r="I20" s="4" t="s">
        <v>19</v>
      </c>
    </row>
    <row r="21" customFormat="false" ht="23.85" hidden="false" customHeight="false" outlineLevel="0" collapsed="false">
      <c r="A21" s="4" t="s">
        <v>106</v>
      </c>
      <c r="B21" s="4" t="s">
        <v>96</v>
      </c>
      <c r="C21" s="4" t="s">
        <v>107</v>
      </c>
      <c r="D21" s="4" t="s">
        <v>108</v>
      </c>
      <c r="E21" s="4" t="s">
        <v>109</v>
      </c>
      <c r="F21" s="4" t="s">
        <v>57</v>
      </c>
      <c r="G21" s="4" t="s">
        <v>110</v>
      </c>
      <c r="H21" s="4" t="s">
        <v>111</v>
      </c>
      <c r="I21" s="4" t="s">
        <v>19</v>
      </c>
    </row>
    <row r="22" customFormat="false" ht="23.85" hidden="false" customHeight="false" outlineLevel="0" collapsed="false">
      <c r="A22" s="4" t="s">
        <v>112</v>
      </c>
      <c r="B22" s="4" t="s">
        <v>113</v>
      </c>
      <c r="C22" s="4" t="s">
        <v>114</v>
      </c>
      <c r="D22" s="4" t="s">
        <v>115</v>
      </c>
      <c r="E22" s="4" t="s">
        <v>76</v>
      </c>
      <c r="F22" s="4" t="s">
        <v>16</v>
      </c>
      <c r="G22" s="4" t="s">
        <v>116</v>
      </c>
      <c r="H22" s="4" t="s">
        <v>51</v>
      </c>
      <c r="I22" s="4" t="s">
        <v>19</v>
      </c>
    </row>
    <row r="23" customFormat="false" ht="23.85" hidden="false" customHeight="false" outlineLevel="0" collapsed="false">
      <c r="A23" s="4" t="s">
        <v>117</v>
      </c>
      <c r="B23" s="4" t="s">
        <v>88</v>
      </c>
      <c r="C23" s="4" t="s">
        <v>118</v>
      </c>
      <c r="D23" s="4" t="s">
        <v>119</v>
      </c>
      <c r="E23" s="4" t="s">
        <v>76</v>
      </c>
      <c r="F23" s="4" t="s">
        <v>16</v>
      </c>
      <c r="G23" s="4" t="s">
        <v>120</v>
      </c>
      <c r="H23" s="4" t="s">
        <v>121</v>
      </c>
      <c r="I23" s="4" t="s">
        <v>19</v>
      </c>
    </row>
    <row r="24" customFormat="false" ht="15" hidden="false" customHeight="false" outlineLevel="0" collapsed="false">
      <c r="A24" s="4" t="s">
        <v>122</v>
      </c>
      <c r="B24" s="4" t="s">
        <v>123</v>
      </c>
      <c r="C24" s="4" t="s">
        <v>124</v>
      </c>
      <c r="D24" s="4" t="s">
        <v>125</v>
      </c>
      <c r="E24" s="4" t="s">
        <v>27</v>
      </c>
      <c r="F24" s="4" t="s">
        <v>126</v>
      </c>
      <c r="G24" s="4" t="s">
        <v>127</v>
      </c>
      <c r="H24" s="4" t="s">
        <v>128</v>
      </c>
      <c r="I24" s="4" t="s">
        <v>19</v>
      </c>
    </row>
    <row r="25" customFormat="false" ht="23.85" hidden="false" customHeight="false" outlineLevel="0" collapsed="false">
      <c r="A25" s="4" t="s">
        <v>129</v>
      </c>
      <c r="B25" s="4" t="s">
        <v>123</v>
      </c>
      <c r="C25" s="4" t="s">
        <v>130</v>
      </c>
      <c r="D25" s="4" t="s">
        <v>131</v>
      </c>
      <c r="E25" s="4" t="s">
        <v>35</v>
      </c>
      <c r="F25" s="4" t="s">
        <v>36</v>
      </c>
      <c r="G25" s="4" t="s">
        <v>132</v>
      </c>
      <c r="H25" s="4" t="s">
        <v>133</v>
      </c>
      <c r="I25" s="4" t="s">
        <v>19</v>
      </c>
    </row>
    <row r="26" customFormat="false" ht="23.85" hidden="false" customHeight="false" outlineLevel="0" collapsed="false">
      <c r="A26" s="4" t="s">
        <v>134</v>
      </c>
      <c r="B26" s="4" t="s">
        <v>123</v>
      </c>
      <c r="C26" s="4" t="s">
        <v>135</v>
      </c>
      <c r="D26" s="4" t="s">
        <v>136</v>
      </c>
      <c r="E26" s="4" t="s">
        <v>27</v>
      </c>
      <c r="F26" s="4" t="s">
        <v>57</v>
      </c>
      <c r="G26" s="4" t="s">
        <v>137</v>
      </c>
      <c r="H26" s="4" t="s">
        <v>138</v>
      </c>
      <c r="I26" s="4" t="s">
        <v>19</v>
      </c>
    </row>
    <row r="27" customFormat="false" ht="23.85" hidden="false" customHeight="false" outlineLevel="0" collapsed="false">
      <c r="A27" s="4" t="s">
        <v>139</v>
      </c>
      <c r="B27" s="4" t="s">
        <v>140</v>
      </c>
      <c r="C27" s="4" t="s">
        <v>141</v>
      </c>
      <c r="D27" s="4" t="s">
        <v>142</v>
      </c>
      <c r="E27" s="4" t="s">
        <v>76</v>
      </c>
      <c r="F27" s="4" t="s">
        <v>143</v>
      </c>
      <c r="G27" s="4" t="s">
        <v>144</v>
      </c>
      <c r="H27" s="4" t="s">
        <v>145</v>
      </c>
      <c r="I27" s="4" t="s">
        <v>19</v>
      </c>
    </row>
    <row r="28" customFormat="false" ht="23.85" hidden="false" customHeight="false" outlineLevel="0" collapsed="false">
      <c r="A28" s="4" t="s">
        <v>146</v>
      </c>
      <c r="B28" s="4" t="s">
        <v>140</v>
      </c>
      <c r="C28" s="4" t="s">
        <v>147</v>
      </c>
      <c r="D28" s="4" t="s">
        <v>148</v>
      </c>
      <c r="E28" s="4" t="s">
        <v>27</v>
      </c>
      <c r="F28" s="4" t="s">
        <v>149</v>
      </c>
      <c r="G28" s="4" t="s">
        <v>150</v>
      </c>
      <c r="H28" s="4" t="s">
        <v>151</v>
      </c>
      <c r="I28" s="4" t="s">
        <v>19</v>
      </c>
    </row>
    <row r="29" customFormat="false" ht="15" hidden="false" customHeight="false" outlineLevel="0" collapsed="false">
      <c r="A29" s="4" t="s">
        <v>152</v>
      </c>
      <c r="B29" s="4" t="s">
        <v>140</v>
      </c>
      <c r="C29" s="4" t="s">
        <v>153</v>
      </c>
      <c r="D29" s="4" t="s">
        <v>154</v>
      </c>
      <c r="E29" s="4" t="s">
        <v>155</v>
      </c>
      <c r="F29" s="4" t="s">
        <v>156</v>
      </c>
      <c r="G29" s="4" t="s">
        <v>157</v>
      </c>
      <c r="H29" s="4" t="s">
        <v>158</v>
      </c>
      <c r="I29" s="4" t="s">
        <v>19</v>
      </c>
    </row>
    <row r="30" customFormat="false" ht="23.85" hidden="false" customHeight="false" outlineLevel="0" collapsed="false">
      <c r="A30" s="4" t="s">
        <v>159</v>
      </c>
      <c r="B30" s="4" t="s">
        <v>160</v>
      </c>
      <c r="C30" s="4" t="s">
        <v>161</v>
      </c>
      <c r="D30" s="4" t="s">
        <v>162</v>
      </c>
      <c r="E30" s="4" t="s">
        <v>163</v>
      </c>
      <c r="F30" s="4" t="s">
        <v>164</v>
      </c>
      <c r="G30" s="4" t="s">
        <v>165</v>
      </c>
      <c r="H30" s="4" t="s">
        <v>166</v>
      </c>
      <c r="I30" s="4" t="s">
        <v>19</v>
      </c>
    </row>
  </sheetData>
  <autoFilter ref="A1:I30"/>
  <mergeCells count="2">
    <mergeCell ref="A1:I1"/>
    <mergeCell ref="A2:I2"/>
  </mergeCells>
  <conditionalFormatting sqref="I5:I30">
    <cfRule type="expression" priority="2" aboveAverage="0" equalAverage="0" bottom="0" percent="0" rank="0" text="" dxfId="4">
      <formula>$I5="Complete"</formula>
    </cfRule>
    <cfRule type="expression" priority="3" aboveAverage="0" equalAverage="0" bottom="0" percent="0" rank="0" text="" dxfId="5">
      <formula>$I5="Blocked"</formula>
    </cfRule>
  </conditionalFormatting>
  <dataValidations count="1">
    <dataValidation allowBlank="false" errorStyle="stop" operator="between" showDropDown="false" showErrorMessage="false" showInputMessage="false" sqref="I5:I30" type="list">
      <formula1>"Not started,In progress,Blocked,Complete,Not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4"/>
    <col collapsed="false" customWidth="true" hidden="false" outlineLevel="0" max="3" min="3" style="1" width="55"/>
  </cols>
  <sheetData>
    <row r="1" customFormat="false" ht="33.75" hidden="false" customHeight="true" outlineLevel="0" collapsed="false">
      <c r="A1" s="2" t="s">
        <v>167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168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2" t="s">
        <v>169</v>
      </c>
      <c r="B4" s="2" t="s">
        <v>170</v>
      </c>
      <c r="C4" s="2" t="s">
        <v>171</v>
      </c>
      <c r="D4" s="4"/>
      <c r="E4" s="4"/>
      <c r="F4" s="4"/>
      <c r="G4" s="4"/>
      <c r="H4" s="4"/>
      <c r="I4" s="4"/>
    </row>
    <row r="5" customFormat="false" ht="15" hidden="false" customHeight="false" outlineLevel="0" collapsed="false">
      <c r="A5" s="4" t="s">
        <v>172</v>
      </c>
      <c r="B5" s="4" t="n">
        <f aca="false">COUNTA('BOM &amp; Ownership'!A5:A200)</f>
        <v>26</v>
      </c>
      <c r="C5" s="4" t="s">
        <v>173</v>
      </c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4" t="s">
        <v>174</v>
      </c>
      <c r="B6" s="4" t="n">
        <f aca="false">COUNTIF('BOM &amp; Ownership'!I5:I200,"Complete")</f>
        <v>0</v>
      </c>
      <c r="C6" s="4" t="s">
        <v>175</v>
      </c>
      <c r="D6" s="4"/>
      <c r="E6" s="4"/>
      <c r="F6" s="4"/>
      <c r="G6" s="4"/>
      <c r="H6" s="4"/>
      <c r="I6" s="4"/>
    </row>
    <row r="7" customFormat="false" ht="15" hidden="false" customHeight="false" outlineLevel="0" collapsed="false">
      <c r="A7" s="4" t="s">
        <v>176</v>
      </c>
      <c r="B7" s="4" t="n">
        <f aca="false">COUNTIF('BOM &amp; Ownership'!I5:I200,"In progress")</f>
        <v>0</v>
      </c>
      <c r="C7" s="4" t="s">
        <v>177</v>
      </c>
      <c r="D7" s="4"/>
      <c r="E7" s="4"/>
      <c r="F7" s="4"/>
      <c r="G7" s="4"/>
      <c r="H7" s="4"/>
      <c r="I7" s="4"/>
    </row>
    <row r="8" customFormat="false" ht="15" hidden="false" customHeight="false" outlineLevel="0" collapsed="false">
      <c r="A8" s="4" t="s">
        <v>178</v>
      </c>
      <c r="B8" s="4" t="n">
        <f aca="false">COUNTIF('BOM &amp; Ownership'!I5:I200,"Blocked")</f>
        <v>0</v>
      </c>
      <c r="C8" s="4" t="s">
        <v>179</v>
      </c>
      <c r="D8" s="4"/>
      <c r="E8" s="4"/>
      <c r="F8" s="4"/>
      <c r="G8" s="4"/>
      <c r="H8" s="4"/>
      <c r="I8" s="4"/>
    </row>
    <row r="9" customFormat="false" ht="15" hidden="false" customHeight="false" outlineLevel="0" collapsed="false">
      <c r="A9" s="4" t="s">
        <v>19</v>
      </c>
      <c r="B9" s="4" t="n">
        <f aca="false">COUNTIF('BOM &amp; Ownership'!I5:I200,"Not started")</f>
        <v>25</v>
      </c>
      <c r="C9" s="4" t="s">
        <v>180</v>
      </c>
      <c r="D9" s="4"/>
      <c r="E9" s="4"/>
      <c r="F9" s="4"/>
      <c r="G9" s="4"/>
      <c r="H9" s="4"/>
      <c r="I9" s="4"/>
    </row>
    <row r="10" customFormat="false" ht="15" hidden="false" customHeight="false" outlineLevel="0" collapsed="false">
      <c r="A10" s="4" t="s">
        <v>181</v>
      </c>
      <c r="B10" s="5" t="n">
        <f aca="false">IF(B5=0,0,B6/B5)</f>
        <v>0</v>
      </c>
      <c r="C10" s="4" t="s">
        <v>182</v>
      </c>
      <c r="D10" s="4"/>
      <c r="E10" s="4"/>
      <c r="F10" s="4"/>
      <c r="G10" s="4"/>
      <c r="H10" s="4"/>
      <c r="I10" s="4"/>
    </row>
    <row r="11" customFormat="false" ht="15" hidden="false" customHeight="false" outlineLevel="0" collapsed="false">
      <c r="A11" s="4" t="s">
        <v>183</v>
      </c>
      <c r="B11" s="6" t="str">
        <f aca="false">IF(B8&gt;0,"NO-GO: BLOCKERS",IF(B6=B5,"GO","AT RISK"))</f>
        <v>AT RISK</v>
      </c>
      <c r="C11" s="4" t="s">
        <v>184</v>
      </c>
      <c r="D11" s="4"/>
      <c r="E11" s="4"/>
      <c r="F11" s="4"/>
      <c r="G11" s="4"/>
      <c r="H11" s="4"/>
      <c r="I11" s="4"/>
    </row>
  </sheetData>
  <autoFilter ref="A1:I11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5"/>
    <col collapsed="false" customWidth="true" hidden="false" outlineLevel="0" max="3" min="3" style="1" width="12"/>
    <col collapsed="false" customWidth="true" hidden="false" outlineLevel="0" max="4" min="4" style="1" width="55"/>
    <col collapsed="false" customWidth="true" hidden="false" outlineLevel="0" max="5" min="5" style="1" width="30"/>
    <col collapsed="false" customWidth="true" hidden="false" outlineLevel="0" max="6" min="6" style="1" width="38"/>
    <col collapsed="false" customWidth="true" hidden="false" outlineLevel="0" max="7" min="7" style="1" width="28"/>
    <col collapsed="false" customWidth="true" hidden="false" outlineLevel="0" max="8" min="8" style="1" width="14"/>
    <col collapsed="false" customWidth="true" hidden="false" outlineLevel="0" max="9" min="9" style="1" width="16"/>
  </cols>
  <sheetData>
    <row r="1" customFormat="false" ht="33.75" hidden="false" customHeight="true" outlineLevel="0" collapsed="false">
      <c r="A1" s="2" t="s">
        <v>185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186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7" t="s">
        <v>187</v>
      </c>
      <c r="B4" s="7" t="s">
        <v>188</v>
      </c>
      <c r="C4" s="7" t="s">
        <v>189</v>
      </c>
      <c r="D4" s="7" t="s">
        <v>190</v>
      </c>
      <c r="E4" s="7" t="s">
        <v>191</v>
      </c>
      <c r="F4" s="7" t="s">
        <v>192</v>
      </c>
      <c r="G4" s="7" t="s">
        <v>193</v>
      </c>
      <c r="H4" s="7" t="s">
        <v>194</v>
      </c>
      <c r="I4" s="7" t="s">
        <v>10</v>
      </c>
    </row>
    <row r="5" customFormat="false" ht="23.85" hidden="false" customHeight="false" outlineLevel="0" collapsed="false">
      <c r="A5" s="4" t="s">
        <v>195</v>
      </c>
      <c r="B5" s="4" t="s">
        <v>196</v>
      </c>
      <c r="C5" s="4" t="s">
        <v>197</v>
      </c>
      <c r="D5" s="4" t="s">
        <v>198</v>
      </c>
      <c r="E5" s="4" t="s">
        <v>199</v>
      </c>
      <c r="F5" s="4" t="s">
        <v>200</v>
      </c>
      <c r="G5" s="4" t="s">
        <v>201</v>
      </c>
      <c r="H5" s="4"/>
      <c r="I5" s="4" t="s">
        <v>19</v>
      </c>
    </row>
    <row r="6" customFormat="false" ht="23.85" hidden="false" customHeight="false" outlineLevel="0" collapsed="false">
      <c r="A6" s="4" t="s">
        <v>202</v>
      </c>
      <c r="B6" s="4" t="s">
        <v>203</v>
      </c>
      <c r="C6" s="4" t="s">
        <v>204</v>
      </c>
      <c r="D6" s="4" t="s">
        <v>205</v>
      </c>
      <c r="E6" s="4" t="s">
        <v>206</v>
      </c>
      <c r="F6" s="4" t="s">
        <v>104</v>
      </c>
      <c r="G6" s="4" t="s">
        <v>207</v>
      </c>
      <c r="H6" s="4"/>
      <c r="I6" s="4" t="s">
        <v>19</v>
      </c>
    </row>
    <row r="7" customFormat="false" ht="15" hidden="false" customHeight="false" outlineLevel="0" collapsed="false">
      <c r="A7" s="4" t="s">
        <v>208</v>
      </c>
      <c r="B7" s="4" t="s">
        <v>209</v>
      </c>
      <c r="C7" s="4" t="s">
        <v>210</v>
      </c>
      <c r="D7" s="4" t="s">
        <v>211</v>
      </c>
      <c r="E7" s="4" t="s">
        <v>212</v>
      </c>
      <c r="F7" s="4" t="s">
        <v>213</v>
      </c>
      <c r="G7" s="4" t="s">
        <v>214</v>
      </c>
      <c r="H7" s="4"/>
      <c r="I7" s="4" t="s">
        <v>19</v>
      </c>
    </row>
    <row r="8" customFormat="false" ht="15" hidden="false" customHeight="false" outlineLevel="0" collapsed="false">
      <c r="A8" s="4" t="s">
        <v>215</v>
      </c>
      <c r="B8" s="4" t="s">
        <v>216</v>
      </c>
      <c r="C8" s="4" t="s">
        <v>210</v>
      </c>
      <c r="D8" s="4" t="s">
        <v>217</v>
      </c>
      <c r="E8" s="4" t="s">
        <v>218</v>
      </c>
      <c r="F8" s="4" t="s">
        <v>219</v>
      </c>
      <c r="G8" s="4" t="s">
        <v>220</v>
      </c>
      <c r="H8" s="4"/>
      <c r="I8" s="4" t="s">
        <v>19</v>
      </c>
    </row>
  </sheetData>
  <autoFilter ref="A1:I8"/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I5:I8" type="list">
      <formula1>"Not started,In progress,Blocked,Complete"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38"/>
    <col collapsed="false" customWidth="true" hidden="false" outlineLevel="0" max="4" min="4" style="1" width="34"/>
    <col collapsed="false" customWidth="true" hidden="false" outlineLevel="0" max="5" min="5" style="1" width="28"/>
    <col collapsed="false" customWidth="true" hidden="false" outlineLevel="0" max="6" min="6" style="1" width="34"/>
    <col collapsed="false" customWidth="true" hidden="false" outlineLevel="0" max="7" min="7" style="1" width="15"/>
    <col collapsed="false" customWidth="true" hidden="false" outlineLevel="0" max="8" min="8" style="1" width="26"/>
    <col collapsed="false" customWidth="true" hidden="false" outlineLevel="0" max="9" min="9" style="1" width="14"/>
  </cols>
  <sheetData>
    <row r="1" customFormat="false" ht="33.75" hidden="false" customHeight="true" outlineLevel="0" collapsed="false">
      <c r="A1" s="2" t="s">
        <v>221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222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6" t="s">
        <v>223</v>
      </c>
      <c r="B4" s="6" t="s">
        <v>224</v>
      </c>
      <c r="C4" s="6" t="s">
        <v>225</v>
      </c>
      <c r="D4" s="6" t="s">
        <v>226</v>
      </c>
      <c r="E4" s="6" t="s">
        <v>227</v>
      </c>
      <c r="F4" s="6" t="s">
        <v>228</v>
      </c>
      <c r="G4" s="6" t="s">
        <v>6</v>
      </c>
      <c r="H4" s="6" t="s">
        <v>229</v>
      </c>
      <c r="I4" s="6" t="s">
        <v>10</v>
      </c>
    </row>
    <row r="5" customFormat="false" ht="23.85" hidden="false" customHeight="false" outlineLevel="0" collapsed="false">
      <c r="A5" s="4" t="s">
        <v>230</v>
      </c>
      <c r="B5" s="4" t="s">
        <v>231</v>
      </c>
      <c r="C5" s="4" t="s">
        <v>232</v>
      </c>
      <c r="D5" s="4" t="s">
        <v>233</v>
      </c>
      <c r="E5" s="4" t="s">
        <v>234</v>
      </c>
      <c r="F5" s="4" t="s">
        <v>235</v>
      </c>
      <c r="G5" s="4" t="s">
        <v>236</v>
      </c>
      <c r="H5" s="4"/>
      <c r="I5" s="4" t="s">
        <v>19</v>
      </c>
    </row>
    <row r="6" customFormat="false" ht="15" hidden="false" customHeight="false" outlineLevel="0" collapsed="false">
      <c r="A6" s="4" t="s">
        <v>237</v>
      </c>
      <c r="B6" s="4" t="s">
        <v>238</v>
      </c>
      <c r="C6" s="4" t="s">
        <v>239</v>
      </c>
      <c r="D6" s="4" t="s">
        <v>240</v>
      </c>
      <c r="E6" s="4" t="s">
        <v>241</v>
      </c>
      <c r="F6" s="4" t="s">
        <v>242</v>
      </c>
      <c r="G6" s="4" t="s">
        <v>236</v>
      </c>
      <c r="H6" s="4"/>
      <c r="I6" s="4" t="s">
        <v>19</v>
      </c>
    </row>
    <row r="7" customFormat="false" ht="23.85" hidden="false" customHeight="false" outlineLevel="0" collapsed="false">
      <c r="A7" s="4" t="s">
        <v>243</v>
      </c>
      <c r="B7" s="4" t="s">
        <v>244</v>
      </c>
      <c r="C7" s="4" t="s">
        <v>245</v>
      </c>
      <c r="D7" s="4" t="s">
        <v>246</v>
      </c>
      <c r="E7" s="4" t="s">
        <v>247</v>
      </c>
      <c r="F7" s="4" t="s">
        <v>248</v>
      </c>
      <c r="G7" s="4" t="s">
        <v>249</v>
      </c>
      <c r="H7" s="4"/>
      <c r="I7" s="4" t="s">
        <v>19</v>
      </c>
    </row>
    <row r="8" customFormat="false" ht="15" hidden="false" customHeight="false" outlineLevel="0" collapsed="false">
      <c r="A8" s="4" t="s">
        <v>250</v>
      </c>
      <c r="B8" s="4" t="s">
        <v>251</v>
      </c>
      <c r="C8" s="4" t="s">
        <v>252</v>
      </c>
      <c r="D8" s="4" t="s">
        <v>253</v>
      </c>
      <c r="E8" s="4" t="s">
        <v>254</v>
      </c>
      <c r="F8" s="4" t="s">
        <v>255</v>
      </c>
      <c r="G8" s="4" t="s">
        <v>256</v>
      </c>
      <c r="H8" s="4"/>
      <c r="I8" s="4" t="s">
        <v>19</v>
      </c>
    </row>
    <row r="9" customFormat="false" ht="15" hidden="false" customHeight="false" outlineLevel="0" collapsed="false">
      <c r="A9" s="4" t="s">
        <v>257</v>
      </c>
      <c r="B9" s="4" t="s">
        <v>258</v>
      </c>
      <c r="C9" s="4" t="s">
        <v>259</v>
      </c>
      <c r="D9" s="4" t="s">
        <v>260</v>
      </c>
      <c r="E9" s="4" t="s">
        <v>261</v>
      </c>
      <c r="F9" s="4" t="s">
        <v>262</v>
      </c>
      <c r="G9" s="4" t="s">
        <v>263</v>
      </c>
      <c r="H9" s="4"/>
      <c r="I9" s="4" t="s">
        <v>19</v>
      </c>
    </row>
    <row r="10" customFormat="false" ht="15" hidden="false" customHeight="false" outlineLevel="0" collapsed="false">
      <c r="A10" s="4" t="s">
        <v>264</v>
      </c>
      <c r="B10" s="4" t="s">
        <v>265</v>
      </c>
      <c r="C10" s="4" t="s">
        <v>266</v>
      </c>
      <c r="D10" s="4" t="s">
        <v>267</v>
      </c>
      <c r="E10" s="4" t="s">
        <v>268</v>
      </c>
      <c r="F10" s="4" t="s">
        <v>269</v>
      </c>
      <c r="G10" s="4" t="s">
        <v>263</v>
      </c>
      <c r="H10" s="4"/>
      <c r="I10" s="4" t="s">
        <v>19</v>
      </c>
    </row>
    <row r="11" customFormat="false" ht="23.85" hidden="false" customHeight="false" outlineLevel="0" collapsed="false">
      <c r="A11" s="4" t="s">
        <v>270</v>
      </c>
      <c r="B11" s="4" t="s">
        <v>271</v>
      </c>
      <c r="C11" s="4" t="s">
        <v>272</v>
      </c>
      <c r="D11" s="4" t="s">
        <v>273</v>
      </c>
      <c r="E11" s="4" t="s">
        <v>274</v>
      </c>
      <c r="F11" s="4" t="s">
        <v>275</v>
      </c>
      <c r="G11" s="4" t="s">
        <v>236</v>
      </c>
      <c r="H11" s="4"/>
      <c r="I11" s="4" t="s">
        <v>19</v>
      </c>
    </row>
    <row r="12" customFormat="false" ht="23.85" hidden="false" customHeight="false" outlineLevel="0" collapsed="false">
      <c r="A12" s="4" t="s">
        <v>276</v>
      </c>
      <c r="B12" s="4" t="s">
        <v>277</v>
      </c>
      <c r="C12" s="4" t="s">
        <v>278</v>
      </c>
      <c r="D12" s="4" t="s">
        <v>279</v>
      </c>
      <c r="E12" s="4" t="s">
        <v>280</v>
      </c>
      <c r="F12" s="4" t="s">
        <v>281</v>
      </c>
      <c r="G12" s="4" t="s">
        <v>236</v>
      </c>
      <c r="H12" s="4"/>
      <c r="I12" s="4" t="s">
        <v>19</v>
      </c>
    </row>
  </sheetData>
  <autoFilter ref="A1:I12"/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I5:I12" type="list">
      <formula1>"Not started,On time,At risk,Complete"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7"/>
    <col collapsed="false" customWidth="true" hidden="false" outlineLevel="0" max="3" min="3" style="1" width="18"/>
    <col collapsed="false" customWidth="true" hidden="false" outlineLevel="0" max="5" min="4" style="1" width="35"/>
    <col collapsed="false" customWidth="true" hidden="false" outlineLevel="0" max="6" min="6" style="1" width="30"/>
    <col collapsed="false" customWidth="true" hidden="false" outlineLevel="0" max="7" min="7" style="1" width="20"/>
    <col collapsed="false" customWidth="true" hidden="false" outlineLevel="0" max="8" min="8" style="1" width="15"/>
    <col collapsed="false" customWidth="true" hidden="false" outlineLevel="0" max="9" min="9" style="1" width="16"/>
  </cols>
  <sheetData>
    <row r="1" customFormat="false" ht="33.75" hidden="false" customHeight="true" outlineLevel="0" collapsed="false">
      <c r="A1" s="2" t="s">
        <v>282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283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8" t="s">
        <v>284</v>
      </c>
      <c r="B4" s="8" t="s">
        <v>285</v>
      </c>
      <c r="C4" s="8" t="s">
        <v>286</v>
      </c>
      <c r="D4" s="8" t="s">
        <v>287</v>
      </c>
      <c r="E4" s="8" t="s">
        <v>288</v>
      </c>
      <c r="F4" s="8" t="s">
        <v>289</v>
      </c>
      <c r="G4" s="8" t="s">
        <v>6</v>
      </c>
      <c r="H4" s="8" t="s">
        <v>7</v>
      </c>
      <c r="I4" s="8" t="s">
        <v>10</v>
      </c>
    </row>
    <row r="5" customFormat="false" ht="15" hidden="false" customHeight="false" outlineLevel="0" collapsed="false">
      <c r="A5" s="4" t="s">
        <v>290</v>
      </c>
      <c r="B5" s="4" t="s">
        <v>291</v>
      </c>
      <c r="C5" s="4" t="s">
        <v>292</v>
      </c>
      <c r="D5" s="4" t="s">
        <v>293</v>
      </c>
      <c r="E5" s="4" t="s">
        <v>294</v>
      </c>
      <c r="F5" s="4" t="s">
        <v>295</v>
      </c>
      <c r="G5" s="4" t="s">
        <v>296</v>
      </c>
      <c r="H5" s="4"/>
      <c r="I5" s="4" t="s">
        <v>19</v>
      </c>
    </row>
    <row r="6" customFormat="false" ht="15" hidden="false" customHeight="false" outlineLevel="0" collapsed="false">
      <c r="A6" s="4" t="s">
        <v>297</v>
      </c>
      <c r="B6" s="4" t="s">
        <v>35</v>
      </c>
      <c r="C6" s="4" t="s">
        <v>298</v>
      </c>
      <c r="D6" s="4" t="s">
        <v>124</v>
      </c>
      <c r="E6" s="4" t="s">
        <v>299</v>
      </c>
      <c r="F6" s="4" t="s">
        <v>300</v>
      </c>
      <c r="G6" s="4" t="s">
        <v>296</v>
      </c>
      <c r="H6" s="4"/>
      <c r="I6" s="4" t="s">
        <v>19</v>
      </c>
    </row>
    <row r="7" customFormat="false" ht="23.85" hidden="false" customHeight="false" outlineLevel="0" collapsed="false">
      <c r="A7" s="4" t="s">
        <v>164</v>
      </c>
      <c r="B7" s="4" t="s">
        <v>301</v>
      </c>
      <c r="C7" s="4" t="s">
        <v>292</v>
      </c>
      <c r="D7" s="4" t="s">
        <v>302</v>
      </c>
      <c r="E7" s="4" t="s">
        <v>303</v>
      </c>
      <c r="F7" s="4" t="s">
        <v>304</v>
      </c>
      <c r="G7" s="4" t="s">
        <v>249</v>
      </c>
      <c r="H7" s="4"/>
      <c r="I7" s="4" t="s">
        <v>19</v>
      </c>
    </row>
    <row r="8" customFormat="false" ht="15" hidden="false" customHeight="false" outlineLevel="0" collapsed="false">
      <c r="A8" s="4" t="s">
        <v>57</v>
      </c>
      <c r="B8" s="4" t="s">
        <v>305</v>
      </c>
      <c r="C8" s="4" t="s">
        <v>138</v>
      </c>
      <c r="D8" s="4" t="s">
        <v>135</v>
      </c>
      <c r="E8" s="4" t="s">
        <v>306</v>
      </c>
      <c r="F8" s="4" t="s">
        <v>307</v>
      </c>
      <c r="G8" s="4" t="s">
        <v>296</v>
      </c>
      <c r="H8" s="4"/>
      <c r="I8" s="4" t="s">
        <v>19</v>
      </c>
    </row>
    <row r="9" customFormat="false" ht="15" hidden="false" customHeight="false" outlineLevel="0" collapsed="false">
      <c r="A9" s="4" t="s">
        <v>69</v>
      </c>
      <c r="B9" s="4" t="s">
        <v>305</v>
      </c>
      <c r="C9" s="4" t="s">
        <v>308</v>
      </c>
      <c r="D9" s="4" t="s">
        <v>309</v>
      </c>
      <c r="E9" s="4" t="s">
        <v>310</v>
      </c>
      <c r="F9" s="4" t="s">
        <v>311</v>
      </c>
      <c r="G9" s="4" t="s">
        <v>249</v>
      </c>
      <c r="H9" s="4"/>
      <c r="I9" s="4" t="s">
        <v>19</v>
      </c>
    </row>
    <row r="10" customFormat="false" ht="15" hidden="false" customHeight="false" outlineLevel="0" collapsed="false">
      <c r="A10" s="4" t="s">
        <v>143</v>
      </c>
      <c r="B10" s="4" t="s">
        <v>305</v>
      </c>
      <c r="C10" s="4" t="s">
        <v>292</v>
      </c>
      <c r="D10" s="4" t="s">
        <v>312</v>
      </c>
      <c r="E10" s="4" t="s">
        <v>313</v>
      </c>
      <c r="F10" s="4" t="s">
        <v>314</v>
      </c>
      <c r="G10" s="4" t="s">
        <v>296</v>
      </c>
      <c r="H10" s="4"/>
      <c r="I10" s="4" t="s">
        <v>19</v>
      </c>
    </row>
    <row r="11" customFormat="false" ht="15" hidden="false" customHeight="false" outlineLevel="0" collapsed="false">
      <c r="A11" s="4" t="s">
        <v>149</v>
      </c>
      <c r="B11" s="4" t="s">
        <v>155</v>
      </c>
      <c r="C11" s="4" t="s">
        <v>315</v>
      </c>
      <c r="D11" s="4" t="s">
        <v>147</v>
      </c>
      <c r="E11" s="4" t="s">
        <v>316</v>
      </c>
      <c r="F11" s="4" t="s">
        <v>317</v>
      </c>
      <c r="G11" s="4" t="s">
        <v>318</v>
      </c>
      <c r="H11" s="4"/>
      <c r="I11" s="4" t="s">
        <v>19</v>
      </c>
    </row>
    <row r="12" customFormat="false" ht="15" hidden="false" customHeight="false" outlineLevel="0" collapsed="false">
      <c r="A12" s="4" t="s">
        <v>156</v>
      </c>
      <c r="B12" s="4" t="s">
        <v>155</v>
      </c>
      <c r="C12" s="4" t="s">
        <v>319</v>
      </c>
      <c r="D12" s="4" t="s">
        <v>153</v>
      </c>
      <c r="E12" s="4" t="s">
        <v>320</v>
      </c>
      <c r="F12" s="4" t="s">
        <v>321</v>
      </c>
      <c r="G12" s="4" t="s">
        <v>318</v>
      </c>
      <c r="H12" s="4"/>
      <c r="I12" s="4" t="s">
        <v>19</v>
      </c>
    </row>
  </sheetData>
  <autoFilter ref="A1:I12"/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I5:I12" type="list">
      <formula1>"Not started,Scheduled,Sent,Responded,Blocked"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9"/>
    <col collapsed="false" customWidth="true" hidden="false" outlineLevel="0" max="3" min="3" style="1" width="30"/>
    <col collapsed="false" customWidth="true" hidden="false" outlineLevel="0" max="5" min="4" style="1" width="38"/>
    <col collapsed="false" customWidth="true" hidden="false" outlineLevel="0" max="6" min="6" style="1" width="18"/>
    <col collapsed="false" customWidth="true" hidden="false" outlineLevel="0" max="7" min="7" style="1" width="12"/>
    <col collapsed="false" customWidth="true" hidden="false" outlineLevel="0" max="9" min="8" style="1" width="14"/>
  </cols>
  <sheetData>
    <row r="1" customFormat="false" ht="33.75" hidden="false" customHeight="true" outlineLevel="0" collapsed="false">
      <c r="A1" s="2" t="s">
        <v>322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323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9" t="s">
        <v>2</v>
      </c>
      <c r="B4" s="9" t="s">
        <v>324</v>
      </c>
      <c r="C4" s="9" t="s">
        <v>325</v>
      </c>
      <c r="D4" s="9" t="s">
        <v>326</v>
      </c>
      <c r="E4" s="9" t="s">
        <v>327</v>
      </c>
      <c r="F4" s="9" t="s">
        <v>6</v>
      </c>
      <c r="G4" s="9" t="s">
        <v>328</v>
      </c>
      <c r="H4" s="9" t="s">
        <v>329</v>
      </c>
      <c r="I4" s="9" t="s">
        <v>10</v>
      </c>
    </row>
    <row r="5" customFormat="false" ht="23.85" hidden="false" customHeight="false" outlineLevel="0" collapsed="false">
      <c r="A5" s="4" t="s">
        <v>330</v>
      </c>
      <c r="B5" s="4" t="s">
        <v>331</v>
      </c>
      <c r="C5" s="4" t="s">
        <v>332</v>
      </c>
      <c r="D5" s="4" t="s">
        <v>333</v>
      </c>
      <c r="E5" s="4" t="s">
        <v>334</v>
      </c>
      <c r="F5" s="4" t="s">
        <v>249</v>
      </c>
      <c r="G5" s="4" t="s">
        <v>335</v>
      </c>
      <c r="H5" s="4" t="s">
        <v>336</v>
      </c>
      <c r="I5" s="4" t="s">
        <v>337</v>
      </c>
    </row>
    <row r="6" customFormat="false" ht="23.85" hidden="false" customHeight="false" outlineLevel="0" collapsed="false">
      <c r="A6" s="4" t="s">
        <v>338</v>
      </c>
      <c r="B6" s="4" t="s">
        <v>201</v>
      </c>
      <c r="C6" s="4" t="s">
        <v>339</v>
      </c>
      <c r="D6" s="4" t="s">
        <v>340</v>
      </c>
      <c r="E6" s="4" t="s">
        <v>341</v>
      </c>
      <c r="F6" s="4" t="s">
        <v>249</v>
      </c>
      <c r="G6" s="4" t="s">
        <v>336</v>
      </c>
      <c r="H6" s="4" t="s">
        <v>336</v>
      </c>
      <c r="I6" s="4" t="s">
        <v>337</v>
      </c>
    </row>
    <row r="7" customFormat="false" ht="15" hidden="false" customHeight="false" outlineLevel="0" collapsed="false">
      <c r="A7" s="4" t="s">
        <v>342</v>
      </c>
      <c r="B7" s="4" t="s">
        <v>343</v>
      </c>
      <c r="C7" s="4" t="s">
        <v>344</v>
      </c>
      <c r="D7" s="4" t="s">
        <v>345</v>
      </c>
      <c r="E7" s="4" t="s">
        <v>346</v>
      </c>
      <c r="F7" s="4" t="s">
        <v>35</v>
      </c>
      <c r="G7" s="4" t="s">
        <v>335</v>
      </c>
      <c r="H7" s="4" t="s">
        <v>347</v>
      </c>
      <c r="I7" s="4" t="s">
        <v>337</v>
      </c>
    </row>
    <row r="8" customFormat="false" ht="15" hidden="false" customHeight="false" outlineLevel="0" collapsed="false">
      <c r="A8" s="4" t="s">
        <v>348</v>
      </c>
      <c r="B8" s="4" t="s">
        <v>349</v>
      </c>
      <c r="C8" s="4" t="s">
        <v>350</v>
      </c>
      <c r="D8" s="4" t="s">
        <v>351</v>
      </c>
      <c r="E8" s="4" t="s">
        <v>352</v>
      </c>
      <c r="F8" s="4" t="s">
        <v>236</v>
      </c>
      <c r="G8" s="4" t="s">
        <v>336</v>
      </c>
      <c r="H8" s="4" t="s">
        <v>336</v>
      </c>
      <c r="I8" s="4" t="s">
        <v>337</v>
      </c>
    </row>
    <row r="9" customFormat="false" ht="23.85" hidden="false" customHeight="false" outlineLevel="0" collapsed="false">
      <c r="A9" s="4" t="s">
        <v>353</v>
      </c>
      <c r="B9" s="4" t="s">
        <v>354</v>
      </c>
      <c r="C9" s="4" t="s">
        <v>355</v>
      </c>
      <c r="D9" s="4" t="s">
        <v>356</v>
      </c>
      <c r="E9" s="4" t="s">
        <v>357</v>
      </c>
      <c r="F9" s="4" t="s">
        <v>249</v>
      </c>
      <c r="G9" s="4" t="s">
        <v>335</v>
      </c>
      <c r="H9" s="4" t="s">
        <v>336</v>
      </c>
      <c r="I9" s="4" t="s">
        <v>337</v>
      </c>
    </row>
    <row r="10" customFormat="false" ht="15" hidden="false" customHeight="false" outlineLevel="0" collapsed="false">
      <c r="A10" s="4" t="s">
        <v>358</v>
      </c>
      <c r="B10" s="4" t="s">
        <v>359</v>
      </c>
      <c r="C10" s="4" t="s">
        <v>360</v>
      </c>
      <c r="D10" s="4" t="s">
        <v>361</v>
      </c>
      <c r="E10" s="4" t="s">
        <v>362</v>
      </c>
      <c r="F10" s="4" t="s">
        <v>249</v>
      </c>
      <c r="G10" s="4" t="s">
        <v>336</v>
      </c>
      <c r="H10" s="4" t="s">
        <v>336</v>
      </c>
      <c r="I10" s="4" t="s">
        <v>337</v>
      </c>
    </row>
    <row r="11" customFormat="false" ht="15" hidden="false" customHeight="false" outlineLevel="0" collapsed="false">
      <c r="A11" s="4" t="s">
        <v>363</v>
      </c>
      <c r="B11" s="4" t="s">
        <v>364</v>
      </c>
      <c r="C11" s="4" t="s">
        <v>365</v>
      </c>
      <c r="D11" s="4" t="s">
        <v>366</v>
      </c>
      <c r="E11" s="4" t="s">
        <v>367</v>
      </c>
      <c r="F11" s="4" t="s">
        <v>368</v>
      </c>
      <c r="G11" s="4" t="s">
        <v>336</v>
      </c>
      <c r="H11" s="4" t="s">
        <v>347</v>
      </c>
      <c r="I11" s="4" t="s">
        <v>337</v>
      </c>
    </row>
    <row r="12" customFormat="false" ht="15" hidden="false" customHeight="false" outlineLevel="0" collapsed="false">
      <c r="A12" s="4" t="s">
        <v>369</v>
      </c>
      <c r="B12" s="4" t="s">
        <v>370</v>
      </c>
      <c r="C12" s="4" t="s">
        <v>371</v>
      </c>
      <c r="D12" s="4" t="s">
        <v>372</v>
      </c>
      <c r="E12" s="4" t="s">
        <v>373</v>
      </c>
      <c r="F12" s="4" t="s">
        <v>236</v>
      </c>
      <c r="G12" s="4" t="s">
        <v>336</v>
      </c>
      <c r="H12" s="4" t="s">
        <v>336</v>
      </c>
      <c r="I12" s="4" t="s">
        <v>337</v>
      </c>
    </row>
    <row r="13" customFormat="false" ht="23.85" hidden="false" customHeight="false" outlineLevel="0" collapsed="false">
      <c r="A13" s="4" t="s">
        <v>374</v>
      </c>
      <c r="B13" s="4" t="s">
        <v>375</v>
      </c>
      <c r="C13" s="4" t="s">
        <v>376</v>
      </c>
      <c r="D13" s="4" t="s">
        <v>377</v>
      </c>
      <c r="E13" s="4" t="s">
        <v>378</v>
      </c>
      <c r="F13" s="4" t="s">
        <v>379</v>
      </c>
      <c r="G13" s="4" t="s">
        <v>347</v>
      </c>
      <c r="H13" s="4" t="s">
        <v>336</v>
      </c>
      <c r="I13" s="4" t="s">
        <v>337</v>
      </c>
    </row>
    <row r="14" customFormat="false" ht="23.85" hidden="false" customHeight="false" outlineLevel="0" collapsed="false">
      <c r="A14" s="4" t="s">
        <v>380</v>
      </c>
      <c r="B14" s="4" t="s">
        <v>381</v>
      </c>
      <c r="C14" s="4" t="s">
        <v>382</v>
      </c>
      <c r="D14" s="4" t="s">
        <v>383</v>
      </c>
      <c r="E14" s="4" t="s">
        <v>384</v>
      </c>
      <c r="F14" s="4" t="s">
        <v>318</v>
      </c>
      <c r="G14" s="4" t="s">
        <v>335</v>
      </c>
      <c r="H14" s="4" t="s">
        <v>347</v>
      </c>
      <c r="I14" s="4" t="s">
        <v>337</v>
      </c>
    </row>
  </sheetData>
  <autoFilter ref="A1:I14"/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I5:I14" type="list">
      <formula1>"Open,Mitigated,Accepted,Closed"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42"/>
    <col collapsed="false" customWidth="true" hidden="false" outlineLevel="0" max="3" min="3" style="1" width="34"/>
    <col collapsed="false" customWidth="true" hidden="false" outlineLevel="0" max="4" min="4" style="1" width="32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42"/>
    <col collapsed="false" customWidth="true" hidden="false" outlineLevel="0" max="8" min="8" style="1" width="28"/>
    <col collapsed="false" customWidth="true" hidden="false" outlineLevel="0" max="9" min="9" style="1" width="12"/>
  </cols>
  <sheetData>
    <row r="1" customFormat="false" ht="33.75" hidden="false" customHeight="true" outlineLevel="0" collapsed="false">
      <c r="A1" s="2" t="s">
        <v>166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385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6" t="s">
        <v>386</v>
      </c>
      <c r="B4" s="6" t="s">
        <v>387</v>
      </c>
      <c r="C4" s="6" t="s">
        <v>388</v>
      </c>
      <c r="D4" s="6" t="s">
        <v>389</v>
      </c>
      <c r="E4" s="6" t="s">
        <v>390</v>
      </c>
      <c r="F4" s="6" t="s">
        <v>10</v>
      </c>
      <c r="G4" s="6" t="s">
        <v>391</v>
      </c>
      <c r="H4" s="6" t="s">
        <v>392</v>
      </c>
      <c r="I4" s="6" t="s">
        <v>7</v>
      </c>
    </row>
    <row r="5" customFormat="false" ht="23.85" hidden="false" customHeight="false" outlineLevel="0" collapsed="false">
      <c r="A5" s="4" t="s">
        <v>393</v>
      </c>
      <c r="B5" s="4" t="s">
        <v>394</v>
      </c>
      <c r="C5" s="4" t="s">
        <v>395</v>
      </c>
      <c r="D5" s="4" t="s">
        <v>396</v>
      </c>
      <c r="E5" s="4" t="s">
        <v>397</v>
      </c>
      <c r="F5" s="4" t="s">
        <v>398</v>
      </c>
      <c r="G5" s="4" t="s">
        <v>399</v>
      </c>
      <c r="H5" s="4"/>
      <c r="I5" s="4" t="s">
        <v>143</v>
      </c>
    </row>
    <row r="6" customFormat="false" ht="23.85" hidden="false" customHeight="false" outlineLevel="0" collapsed="false">
      <c r="A6" s="4" t="s">
        <v>400</v>
      </c>
      <c r="B6" s="4" t="s">
        <v>401</v>
      </c>
      <c r="C6" s="4" t="s">
        <v>402</v>
      </c>
      <c r="D6" s="4" t="s">
        <v>403</v>
      </c>
      <c r="E6" s="4" t="s">
        <v>404</v>
      </c>
      <c r="F6" s="4" t="s">
        <v>398</v>
      </c>
      <c r="G6" s="4" t="s">
        <v>405</v>
      </c>
      <c r="H6" s="4"/>
      <c r="I6" s="4" t="s">
        <v>143</v>
      </c>
    </row>
    <row r="7" customFormat="false" ht="15" hidden="false" customHeight="false" outlineLevel="0" collapsed="false">
      <c r="A7" s="4" t="s">
        <v>406</v>
      </c>
      <c r="B7" s="4" t="s">
        <v>407</v>
      </c>
      <c r="C7" s="4" t="s">
        <v>408</v>
      </c>
      <c r="D7" s="4" t="s">
        <v>409</v>
      </c>
      <c r="E7" s="4" t="s">
        <v>410</v>
      </c>
      <c r="F7" s="4" t="s">
        <v>398</v>
      </c>
      <c r="G7" s="4" t="s">
        <v>411</v>
      </c>
      <c r="H7" s="4"/>
      <c r="I7" s="4" t="s">
        <v>143</v>
      </c>
    </row>
    <row r="8" customFormat="false" ht="15" hidden="false" customHeight="false" outlineLevel="0" collapsed="false">
      <c r="A8" s="4" t="s">
        <v>412</v>
      </c>
      <c r="B8" s="4" t="s">
        <v>413</v>
      </c>
      <c r="C8" s="4" t="s">
        <v>414</v>
      </c>
      <c r="D8" s="4" t="s">
        <v>415</v>
      </c>
      <c r="E8" s="4" t="s">
        <v>416</v>
      </c>
      <c r="F8" s="4" t="s">
        <v>398</v>
      </c>
      <c r="G8" s="4" t="s">
        <v>417</v>
      </c>
      <c r="H8" s="4"/>
      <c r="I8" s="4" t="s">
        <v>149</v>
      </c>
    </row>
    <row r="9" customFormat="false" ht="15" hidden="false" customHeight="false" outlineLevel="0" collapsed="false">
      <c r="A9" s="4" t="s">
        <v>418</v>
      </c>
      <c r="B9" s="4" t="s">
        <v>419</v>
      </c>
      <c r="C9" s="4" t="s">
        <v>420</v>
      </c>
      <c r="D9" s="4" t="s">
        <v>421</v>
      </c>
      <c r="E9" s="4" t="s">
        <v>422</v>
      </c>
      <c r="F9" s="4" t="s">
        <v>398</v>
      </c>
      <c r="G9" s="4" t="s">
        <v>423</v>
      </c>
      <c r="H9" s="4"/>
      <c r="I9" s="4" t="s">
        <v>149</v>
      </c>
    </row>
    <row r="10" customFormat="false" ht="15" hidden="false" customHeight="false" outlineLevel="0" collapsed="false">
      <c r="A10" s="4" t="s">
        <v>424</v>
      </c>
      <c r="B10" s="4" t="s">
        <v>425</v>
      </c>
      <c r="C10" s="4" t="s">
        <v>426</v>
      </c>
      <c r="D10" s="4" t="s">
        <v>427</v>
      </c>
      <c r="E10" s="4" t="s">
        <v>428</v>
      </c>
      <c r="F10" s="4" t="s">
        <v>398</v>
      </c>
      <c r="G10" s="4" t="s">
        <v>429</v>
      </c>
      <c r="H10" s="4"/>
      <c r="I10" s="4" t="s">
        <v>149</v>
      </c>
    </row>
    <row r="11" customFormat="false" ht="15" hidden="false" customHeight="false" outlineLevel="0" collapsed="false">
      <c r="A11" s="4" t="s">
        <v>430</v>
      </c>
      <c r="B11" s="4" t="s">
        <v>431</v>
      </c>
      <c r="C11" s="4" t="s">
        <v>432</v>
      </c>
      <c r="D11" s="4" t="s">
        <v>433</v>
      </c>
      <c r="E11" s="4" t="s">
        <v>434</v>
      </c>
      <c r="F11" s="4" t="s">
        <v>435</v>
      </c>
      <c r="G11" s="4" t="s">
        <v>436</v>
      </c>
      <c r="H11" s="4"/>
      <c r="I11" s="4" t="s">
        <v>164</v>
      </c>
    </row>
    <row r="12" customFormat="false" ht="15" hidden="false" customHeight="false" outlineLevel="0" collapsed="false">
      <c r="A12" s="4" t="s">
        <v>88</v>
      </c>
      <c r="B12" s="4" t="s">
        <v>437</v>
      </c>
      <c r="C12" s="4" t="s">
        <v>438</v>
      </c>
      <c r="D12" s="4" t="s">
        <v>439</v>
      </c>
      <c r="E12" s="4" t="s">
        <v>440</v>
      </c>
      <c r="F12" s="4" t="s">
        <v>441</v>
      </c>
      <c r="G12" s="4" t="s">
        <v>442</v>
      </c>
      <c r="H12" s="4"/>
      <c r="I12" s="4" t="s">
        <v>149</v>
      </c>
    </row>
  </sheetData>
  <autoFilter ref="A1:I12"/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F5:F12" type="list">
      <formula1>"Confirm before workshop,Ready to hand off,Handed off,Optional,Blocked"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34"/>
    <col collapsed="false" customWidth="true" hidden="false" outlineLevel="0" max="6" min="6" style="1" width="24"/>
    <col collapsed="false" customWidth="true" hidden="false" outlineLevel="0" max="7" min="7" style="1" width="20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33.75" hidden="false" customHeight="true" outlineLevel="0" collapsed="false">
      <c r="A1" s="2" t="s">
        <v>443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444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2" t="s">
        <v>445</v>
      </c>
      <c r="B4" s="2" t="s">
        <v>285</v>
      </c>
      <c r="C4" s="2" t="s">
        <v>446</v>
      </c>
      <c r="D4" s="2" t="s">
        <v>447</v>
      </c>
      <c r="E4" s="2" t="s">
        <v>448</v>
      </c>
      <c r="F4" s="2" t="s">
        <v>449</v>
      </c>
      <c r="G4" s="2" t="s">
        <v>6</v>
      </c>
      <c r="H4" s="2" t="s">
        <v>450</v>
      </c>
      <c r="I4" s="2" t="s">
        <v>10</v>
      </c>
    </row>
    <row r="5" customFormat="false" ht="15" hidden="false" customHeight="false" outlineLevel="0" collapsed="false">
      <c r="A5" s="4" t="s">
        <v>451</v>
      </c>
      <c r="B5" s="4" t="s">
        <v>452</v>
      </c>
      <c r="C5" s="4" t="s">
        <v>453</v>
      </c>
      <c r="D5" s="4" t="s">
        <v>454</v>
      </c>
      <c r="E5" s="4" t="s">
        <v>455</v>
      </c>
      <c r="F5" s="4" t="s">
        <v>456</v>
      </c>
      <c r="G5" s="4" t="s">
        <v>236</v>
      </c>
      <c r="H5" s="4" t="s">
        <v>457</v>
      </c>
      <c r="I5" s="4" t="s">
        <v>458</v>
      </c>
    </row>
    <row r="6" customFormat="false" ht="15" hidden="false" customHeight="false" outlineLevel="0" collapsed="false">
      <c r="A6" s="4" t="s">
        <v>459</v>
      </c>
      <c r="B6" s="4" t="s">
        <v>460</v>
      </c>
      <c r="C6" s="4" t="s">
        <v>461</v>
      </c>
      <c r="D6" s="4" t="s">
        <v>462</v>
      </c>
      <c r="E6" s="4" t="s">
        <v>463</v>
      </c>
      <c r="F6" s="4" t="s">
        <v>456</v>
      </c>
      <c r="G6" s="4" t="s">
        <v>236</v>
      </c>
      <c r="H6" s="4" t="s">
        <v>457</v>
      </c>
      <c r="I6" s="4" t="s">
        <v>458</v>
      </c>
    </row>
    <row r="7" customFormat="false" ht="15" hidden="false" customHeight="false" outlineLevel="0" collapsed="false">
      <c r="A7" s="4" t="s">
        <v>464</v>
      </c>
      <c r="B7" s="4" t="s">
        <v>465</v>
      </c>
      <c r="C7" s="4" t="s">
        <v>466</v>
      </c>
      <c r="D7" s="4" t="s">
        <v>28</v>
      </c>
      <c r="E7" s="4" t="s">
        <v>467</v>
      </c>
      <c r="F7" s="4" t="s">
        <v>456</v>
      </c>
      <c r="G7" s="4" t="s">
        <v>296</v>
      </c>
      <c r="H7" s="4" t="s">
        <v>457</v>
      </c>
      <c r="I7" s="4" t="s">
        <v>458</v>
      </c>
    </row>
    <row r="8" customFormat="false" ht="15" hidden="false" customHeight="false" outlineLevel="0" collapsed="false">
      <c r="A8" s="4" t="s">
        <v>468</v>
      </c>
      <c r="B8" s="4" t="s">
        <v>249</v>
      </c>
      <c r="C8" s="4" t="s">
        <v>469</v>
      </c>
      <c r="D8" s="4" t="s">
        <v>470</v>
      </c>
      <c r="E8" s="4" t="s">
        <v>471</v>
      </c>
      <c r="F8" s="4" t="s">
        <v>456</v>
      </c>
      <c r="G8" s="4" t="s">
        <v>249</v>
      </c>
      <c r="H8" s="4" t="s">
        <v>457</v>
      </c>
      <c r="I8" s="4" t="s">
        <v>458</v>
      </c>
    </row>
    <row r="9" customFormat="false" ht="15" hidden="false" customHeight="false" outlineLevel="0" collapsed="false">
      <c r="A9" s="4" t="s">
        <v>472</v>
      </c>
      <c r="B9" s="4" t="s">
        <v>305</v>
      </c>
      <c r="C9" s="4" t="s">
        <v>473</v>
      </c>
      <c r="D9" s="4" t="s">
        <v>474</v>
      </c>
      <c r="E9" s="4" t="s">
        <v>475</v>
      </c>
      <c r="F9" s="4" t="s">
        <v>38</v>
      </c>
      <c r="G9" s="4" t="s">
        <v>35</v>
      </c>
      <c r="H9" s="4" t="s">
        <v>457</v>
      </c>
      <c r="I9" s="4" t="s">
        <v>458</v>
      </c>
    </row>
    <row r="10" customFormat="false" ht="15" hidden="false" customHeight="false" outlineLevel="0" collapsed="false">
      <c r="A10" s="4" t="s">
        <v>41</v>
      </c>
      <c r="B10" s="4" t="s">
        <v>305</v>
      </c>
      <c r="C10" s="4" t="s">
        <v>476</v>
      </c>
      <c r="D10" s="4" t="s">
        <v>474</v>
      </c>
      <c r="E10" s="4" t="s">
        <v>475</v>
      </c>
      <c r="F10" s="4" t="s">
        <v>38</v>
      </c>
      <c r="G10" s="4" t="s">
        <v>35</v>
      </c>
      <c r="H10" s="4" t="s">
        <v>457</v>
      </c>
      <c r="I10" s="4" t="s">
        <v>458</v>
      </c>
    </row>
    <row r="11" customFormat="false" ht="15" hidden="false" customHeight="false" outlineLevel="0" collapsed="false">
      <c r="A11" s="4" t="s">
        <v>45</v>
      </c>
      <c r="B11" s="4" t="s">
        <v>305</v>
      </c>
      <c r="C11" s="4" t="s">
        <v>477</v>
      </c>
      <c r="D11" s="4" t="s">
        <v>474</v>
      </c>
      <c r="E11" s="4" t="s">
        <v>478</v>
      </c>
      <c r="F11" s="4" t="s">
        <v>38</v>
      </c>
      <c r="G11" s="4" t="s">
        <v>35</v>
      </c>
      <c r="H11" s="4" t="s">
        <v>457</v>
      </c>
      <c r="I11" s="4" t="s">
        <v>458</v>
      </c>
    </row>
    <row r="12" customFormat="false" ht="23.85" hidden="false" customHeight="false" outlineLevel="0" collapsed="false">
      <c r="A12" s="4" t="s">
        <v>479</v>
      </c>
      <c r="B12" s="4" t="s">
        <v>305</v>
      </c>
      <c r="C12" s="4" t="s">
        <v>480</v>
      </c>
      <c r="D12" s="4" t="s">
        <v>481</v>
      </c>
      <c r="E12" s="4" t="s">
        <v>482</v>
      </c>
      <c r="F12" s="4" t="s">
        <v>38</v>
      </c>
      <c r="G12" s="4" t="s">
        <v>76</v>
      </c>
      <c r="H12" s="4" t="s">
        <v>457</v>
      </c>
      <c r="I12" s="4" t="s">
        <v>458</v>
      </c>
    </row>
    <row r="13" customFormat="false" ht="15" hidden="false" customHeight="false" outlineLevel="0" collapsed="false">
      <c r="A13" s="4" t="s">
        <v>49</v>
      </c>
      <c r="B13" s="4" t="s">
        <v>460</v>
      </c>
      <c r="C13" s="4" t="s">
        <v>483</v>
      </c>
      <c r="D13" s="4" t="s">
        <v>484</v>
      </c>
      <c r="E13" s="4" t="s">
        <v>485</v>
      </c>
      <c r="F13" s="4" t="s">
        <v>51</v>
      </c>
      <c r="G13" s="4" t="s">
        <v>236</v>
      </c>
      <c r="H13" s="4" t="s">
        <v>457</v>
      </c>
      <c r="I13" s="4" t="s">
        <v>458</v>
      </c>
    </row>
    <row r="14" customFormat="false" ht="23.85" hidden="false" customHeight="false" outlineLevel="0" collapsed="false">
      <c r="A14" s="4" t="s">
        <v>486</v>
      </c>
      <c r="B14" s="4" t="s">
        <v>68</v>
      </c>
      <c r="C14" s="4" t="s">
        <v>487</v>
      </c>
      <c r="D14" s="4" t="s">
        <v>488</v>
      </c>
      <c r="E14" s="4" t="s">
        <v>489</v>
      </c>
      <c r="F14" s="4" t="s">
        <v>121</v>
      </c>
      <c r="G14" s="4" t="s">
        <v>76</v>
      </c>
      <c r="H14" s="4" t="s">
        <v>457</v>
      </c>
      <c r="I14" s="4" t="s">
        <v>458</v>
      </c>
    </row>
    <row r="15" customFormat="false" ht="23.85" hidden="false" customHeight="false" outlineLevel="0" collapsed="false">
      <c r="A15" s="4" t="s">
        <v>490</v>
      </c>
      <c r="B15" s="4" t="s">
        <v>68</v>
      </c>
      <c r="C15" s="4" t="s">
        <v>491</v>
      </c>
      <c r="D15" s="4" t="s">
        <v>492</v>
      </c>
      <c r="E15" s="4" t="s">
        <v>493</v>
      </c>
      <c r="F15" s="4" t="s">
        <v>121</v>
      </c>
      <c r="G15" s="4" t="s">
        <v>76</v>
      </c>
      <c r="H15" s="4" t="s">
        <v>457</v>
      </c>
      <c r="I15" s="4" t="s">
        <v>458</v>
      </c>
    </row>
    <row r="16" customFormat="false" ht="23.85" hidden="false" customHeight="false" outlineLevel="0" collapsed="false">
      <c r="A16" s="4" t="s">
        <v>494</v>
      </c>
      <c r="B16" s="4" t="s">
        <v>68</v>
      </c>
      <c r="C16" s="4" t="s">
        <v>495</v>
      </c>
      <c r="D16" s="4" t="s">
        <v>496</v>
      </c>
      <c r="E16" s="4" t="s">
        <v>497</v>
      </c>
      <c r="F16" s="4" t="s">
        <v>498</v>
      </c>
      <c r="G16" s="4" t="s">
        <v>76</v>
      </c>
      <c r="H16" s="4" t="s">
        <v>457</v>
      </c>
      <c r="I16" s="4" t="s">
        <v>458</v>
      </c>
    </row>
    <row r="17" customFormat="false" ht="23.85" hidden="false" customHeight="false" outlineLevel="0" collapsed="false">
      <c r="A17" s="4" t="s">
        <v>499</v>
      </c>
      <c r="B17" s="4" t="s">
        <v>68</v>
      </c>
      <c r="C17" s="4" t="s">
        <v>500</v>
      </c>
      <c r="D17" s="4" t="s">
        <v>496</v>
      </c>
      <c r="E17" s="4" t="s">
        <v>501</v>
      </c>
      <c r="F17" s="4" t="s">
        <v>498</v>
      </c>
      <c r="G17" s="4" t="s">
        <v>76</v>
      </c>
      <c r="H17" s="4" t="s">
        <v>457</v>
      </c>
      <c r="I17" s="4" t="s">
        <v>458</v>
      </c>
    </row>
    <row r="18" customFormat="false" ht="23.85" hidden="false" customHeight="false" outlineLevel="0" collapsed="false">
      <c r="A18" s="4" t="s">
        <v>502</v>
      </c>
      <c r="B18" s="4" t="s">
        <v>503</v>
      </c>
      <c r="C18" s="4" t="s">
        <v>504</v>
      </c>
      <c r="D18" s="4" t="s">
        <v>505</v>
      </c>
      <c r="E18" s="4" t="s">
        <v>506</v>
      </c>
      <c r="F18" s="4" t="s">
        <v>160</v>
      </c>
      <c r="G18" s="4" t="s">
        <v>410</v>
      </c>
      <c r="H18" s="4" t="s">
        <v>457</v>
      </c>
      <c r="I18" s="4" t="s">
        <v>458</v>
      </c>
    </row>
    <row r="19" customFormat="false" ht="23.85" hidden="false" customHeight="false" outlineLevel="0" collapsed="false">
      <c r="A19" s="4" t="s">
        <v>507</v>
      </c>
      <c r="B19" s="4" t="s">
        <v>452</v>
      </c>
      <c r="C19" s="4" t="s">
        <v>508</v>
      </c>
      <c r="D19" s="4" t="s">
        <v>509</v>
      </c>
      <c r="E19" s="4" t="s">
        <v>510</v>
      </c>
      <c r="F19" s="4" t="s">
        <v>511</v>
      </c>
      <c r="G19" s="4" t="s">
        <v>249</v>
      </c>
      <c r="H19" s="4" t="s">
        <v>457</v>
      </c>
      <c r="I19" s="4" t="s">
        <v>512</v>
      </c>
    </row>
    <row r="20" customFormat="false" ht="23.85" hidden="false" customHeight="false" outlineLevel="0" collapsed="false">
      <c r="A20" s="4" t="s">
        <v>513</v>
      </c>
      <c r="B20" s="4" t="s">
        <v>460</v>
      </c>
      <c r="C20" s="4" t="s">
        <v>514</v>
      </c>
      <c r="D20" s="4" t="s">
        <v>515</v>
      </c>
      <c r="E20" s="4" t="s">
        <v>516</v>
      </c>
      <c r="F20" s="4" t="s">
        <v>511</v>
      </c>
      <c r="G20" s="4" t="s">
        <v>236</v>
      </c>
      <c r="H20" s="4" t="s">
        <v>457</v>
      </c>
      <c r="I20" s="4" t="s">
        <v>512</v>
      </c>
    </row>
    <row r="21" customFormat="false" ht="15" hidden="false" customHeight="false" outlineLevel="0" collapsed="false">
      <c r="A21" s="4" t="s">
        <v>517</v>
      </c>
      <c r="B21" s="4" t="s">
        <v>460</v>
      </c>
      <c r="C21" s="4" t="s">
        <v>518</v>
      </c>
      <c r="D21" s="4" t="s">
        <v>519</v>
      </c>
      <c r="E21" s="4" t="s">
        <v>520</v>
      </c>
      <c r="F21" s="4" t="s">
        <v>511</v>
      </c>
      <c r="G21" s="4" t="s">
        <v>236</v>
      </c>
      <c r="H21" s="4" t="s">
        <v>457</v>
      </c>
      <c r="I21" s="4" t="s">
        <v>512</v>
      </c>
    </row>
    <row r="22" customFormat="false" ht="15" hidden="false" customHeight="false" outlineLevel="0" collapsed="false">
      <c r="A22" s="4" t="s">
        <v>521</v>
      </c>
      <c r="B22" s="4" t="s">
        <v>465</v>
      </c>
      <c r="C22" s="4" t="s">
        <v>522</v>
      </c>
      <c r="D22" s="4" t="s">
        <v>28</v>
      </c>
      <c r="E22" s="4" t="s">
        <v>523</v>
      </c>
      <c r="F22" s="4" t="s">
        <v>511</v>
      </c>
      <c r="G22" s="4" t="s">
        <v>296</v>
      </c>
      <c r="H22" s="4" t="s">
        <v>457</v>
      </c>
      <c r="I22" s="4" t="s">
        <v>512</v>
      </c>
    </row>
    <row r="23" customFormat="false" ht="15" hidden="false" customHeight="false" outlineLevel="0" collapsed="false">
      <c r="A23" s="4" t="s">
        <v>524</v>
      </c>
      <c r="B23" s="4" t="s">
        <v>305</v>
      </c>
      <c r="C23" s="4" t="s">
        <v>525</v>
      </c>
      <c r="D23" s="4" t="s">
        <v>526</v>
      </c>
      <c r="E23" s="4" t="s">
        <v>527</v>
      </c>
      <c r="F23" s="4" t="s">
        <v>511</v>
      </c>
      <c r="G23" s="4" t="s">
        <v>35</v>
      </c>
      <c r="H23" s="4" t="s">
        <v>457</v>
      </c>
      <c r="I23" s="4" t="s">
        <v>512</v>
      </c>
    </row>
    <row r="24" customFormat="false" ht="15" hidden="false" customHeight="false" outlineLevel="0" collapsed="false">
      <c r="A24" s="4" t="s">
        <v>528</v>
      </c>
      <c r="B24" s="4" t="s">
        <v>460</v>
      </c>
      <c r="C24" s="4" t="s">
        <v>529</v>
      </c>
      <c r="D24" s="4" t="s">
        <v>484</v>
      </c>
      <c r="E24" s="4" t="s">
        <v>530</v>
      </c>
      <c r="F24" s="4" t="s">
        <v>511</v>
      </c>
      <c r="G24" s="4" t="s">
        <v>236</v>
      </c>
      <c r="H24" s="4" t="s">
        <v>457</v>
      </c>
      <c r="I24" s="4" t="s">
        <v>512</v>
      </c>
    </row>
  </sheetData>
  <autoFilter ref="A1:I24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66"/>
    <col collapsed="false" customWidth="true" hidden="false" outlineLevel="0" max="4" min="4" style="1" width="20"/>
    <col collapsed="false" customWidth="true" hidden="false" outlineLevel="0" max="5" min="5" style="1" width="28"/>
    <col collapsed="false" customWidth="true" hidden="false" outlineLevel="0" max="6" min="6" style="1" width="21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42"/>
  </cols>
  <sheetData>
    <row r="1" customFormat="false" ht="33.75" hidden="false" customHeight="true" outlineLevel="0" collapsed="false">
      <c r="A1" s="2" t="s">
        <v>531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3" t="s">
        <v>532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6" t="s">
        <v>533</v>
      </c>
      <c r="B4" s="6" t="s">
        <v>534</v>
      </c>
      <c r="C4" s="6" t="s">
        <v>535</v>
      </c>
      <c r="D4" s="6" t="s">
        <v>536</v>
      </c>
      <c r="E4" s="6" t="s">
        <v>537</v>
      </c>
      <c r="F4" s="6" t="s">
        <v>538</v>
      </c>
      <c r="G4" s="6" t="s">
        <v>539</v>
      </c>
      <c r="H4" s="6" t="s">
        <v>10</v>
      </c>
      <c r="I4" s="6" t="s">
        <v>229</v>
      </c>
    </row>
    <row r="5" customFormat="false" ht="15" hidden="false" customHeight="false" outlineLevel="0" collapsed="false">
      <c r="A5" s="4" t="s">
        <v>540</v>
      </c>
      <c r="B5" s="10" t="s">
        <v>541</v>
      </c>
      <c r="C5" s="10" t="s">
        <v>542</v>
      </c>
      <c r="D5" s="4" t="s">
        <v>543</v>
      </c>
      <c r="E5" s="4" t="s">
        <v>544</v>
      </c>
      <c r="F5" s="4" t="s">
        <v>545</v>
      </c>
      <c r="G5" s="4" t="s">
        <v>546</v>
      </c>
      <c r="H5" s="4" t="s">
        <v>512</v>
      </c>
      <c r="I5" s="4" t="s">
        <v>547</v>
      </c>
    </row>
    <row r="6" customFormat="false" ht="23.85" hidden="false" customHeight="false" outlineLevel="0" collapsed="false">
      <c r="A6" s="4" t="s">
        <v>548</v>
      </c>
      <c r="B6" s="10" t="s">
        <v>549</v>
      </c>
      <c r="C6" s="10" t="s">
        <v>550</v>
      </c>
      <c r="D6" s="4" t="s">
        <v>543</v>
      </c>
      <c r="E6" s="4" t="s">
        <v>551</v>
      </c>
      <c r="F6" s="4" t="s">
        <v>249</v>
      </c>
      <c r="G6" s="4" t="s">
        <v>546</v>
      </c>
      <c r="H6" s="4" t="s">
        <v>512</v>
      </c>
      <c r="I6" s="4" t="s">
        <v>552</v>
      </c>
    </row>
    <row r="7" customFormat="false" ht="23.85" hidden="false" customHeight="false" outlineLevel="0" collapsed="false">
      <c r="A7" s="4" t="s">
        <v>553</v>
      </c>
      <c r="B7" s="10" t="s">
        <v>554</v>
      </c>
      <c r="C7" s="10" t="s">
        <v>555</v>
      </c>
      <c r="D7" s="4" t="s">
        <v>543</v>
      </c>
      <c r="E7" s="4" t="s">
        <v>556</v>
      </c>
      <c r="F7" s="4" t="s">
        <v>15</v>
      </c>
      <c r="G7" s="4" t="s">
        <v>546</v>
      </c>
      <c r="H7" s="4" t="s">
        <v>512</v>
      </c>
      <c r="I7" s="4" t="s">
        <v>557</v>
      </c>
    </row>
    <row r="8" customFormat="false" ht="15" hidden="false" customHeight="false" outlineLevel="0" collapsed="false">
      <c r="A8" s="4" t="s">
        <v>558</v>
      </c>
      <c r="B8" s="10" t="s">
        <v>559</v>
      </c>
      <c r="C8" s="10" t="s">
        <v>560</v>
      </c>
      <c r="D8" s="4" t="s">
        <v>543</v>
      </c>
      <c r="E8" s="4" t="s">
        <v>561</v>
      </c>
      <c r="F8" s="4" t="s">
        <v>15</v>
      </c>
      <c r="G8" s="4" t="s">
        <v>546</v>
      </c>
      <c r="H8" s="4" t="s">
        <v>512</v>
      </c>
      <c r="I8" s="4" t="s">
        <v>562</v>
      </c>
    </row>
    <row r="9" customFormat="false" ht="23.85" hidden="false" customHeight="false" outlineLevel="0" collapsed="false">
      <c r="A9" s="4" t="s">
        <v>563</v>
      </c>
      <c r="B9" s="10" t="s">
        <v>564</v>
      </c>
      <c r="C9" s="10" t="s">
        <v>565</v>
      </c>
      <c r="D9" s="4" t="s">
        <v>543</v>
      </c>
      <c r="E9" s="4" t="s">
        <v>566</v>
      </c>
      <c r="F9" s="4" t="s">
        <v>296</v>
      </c>
      <c r="G9" s="4" t="s">
        <v>546</v>
      </c>
      <c r="H9" s="4" t="s">
        <v>512</v>
      </c>
      <c r="I9" s="4" t="s">
        <v>562</v>
      </c>
    </row>
    <row r="10" customFormat="false" ht="15" hidden="false" customHeight="false" outlineLevel="0" collapsed="false">
      <c r="A10" s="4" t="s">
        <v>567</v>
      </c>
      <c r="B10" s="10" t="s">
        <v>568</v>
      </c>
      <c r="C10" s="10" t="s">
        <v>569</v>
      </c>
      <c r="D10" s="4" t="s">
        <v>543</v>
      </c>
      <c r="E10" s="4" t="s">
        <v>570</v>
      </c>
      <c r="F10" s="4" t="s">
        <v>35</v>
      </c>
      <c r="G10" s="4" t="s">
        <v>546</v>
      </c>
      <c r="H10" s="4" t="s">
        <v>512</v>
      </c>
      <c r="I10" s="4" t="s">
        <v>571</v>
      </c>
    </row>
    <row r="11" customFormat="false" ht="15" hidden="false" customHeight="false" outlineLevel="0" collapsed="false">
      <c r="A11" s="4" t="s">
        <v>572</v>
      </c>
      <c r="B11" s="10" t="s">
        <v>573</v>
      </c>
      <c r="C11" s="10" t="s">
        <v>574</v>
      </c>
      <c r="D11" s="4" t="s">
        <v>543</v>
      </c>
      <c r="E11" s="4" t="s">
        <v>575</v>
      </c>
      <c r="F11" s="4" t="s">
        <v>15</v>
      </c>
      <c r="G11" s="4" t="s">
        <v>546</v>
      </c>
      <c r="H11" s="4" t="s">
        <v>512</v>
      </c>
      <c r="I11" s="4" t="s">
        <v>562</v>
      </c>
    </row>
    <row r="12" customFormat="false" ht="23.85" hidden="false" customHeight="false" outlineLevel="0" collapsed="false">
      <c r="A12" s="4" t="s">
        <v>576</v>
      </c>
      <c r="B12" s="10" t="s">
        <v>577</v>
      </c>
      <c r="C12" s="10" t="s">
        <v>578</v>
      </c>
      <c r="D12" s="4" t="s">
        <v>543</v>
      </c>
      <c r="E12" s="4" t="s">
        <v>579</v>
      </c>
      <c r="F12" s="4" t="s">
        <v>15</v>
      </c>
      <c r="G12" s="4" t="s">
        <v>546</v>
      </c>
      <c r="H12" s="4" t="s">
        <v>512</v>
      </c>
      <c r="I12" s="4" t="s">
        <v>580</v>
      </c>
    </row>
    <row r="13" customFormat="false" ht="15" hidden="false" customHeight="false" outlineLevel="0" collapsed="false">
      <c r="A13" s="4" t="s">
        <v>21</v>
      </c>
      <c r="B13" s="10" t="s">
        <v>581</v>
      </c>
      <c r="C13" s="10" t="s">
        <v>582</v>
      </c>
      <c r="D13" s="4" t="s">
        <v>543</v>
      </c>
      <c r="E13" s="4" t="s">
        <v>583</v>
      </c>
      <c r="F13" s="4" t="s">
        <v>15</v>
      </c>
      <c r="G13" s="4" t="s">
        <v>546</v>
      </c>
      <c r="H13" s="4" t="s">
        <v>512</v>
      </c>
      <c r="I13" s="4" t="s">
        <v>584</v>
      </c>
    </row>
    <row r="14" customFormat="false" ht="15" hidden="false" customHeight="false" outlineLevel="0" collapsed="false">
      <c r="A14" s="4" t="s">
        <v>585</v>
      </c>
      <c r="B14" s="10" t="s">
        <v>586</v>
      </c>
      <c r="C14" s="10" t="s">
        <v>587</v>
      </c>
      <c r="D14" s="4" t="s">
        <v>543</v>
      </c>
      <c r="E14" s="4" t="s">
        <v>466</v>
      </c>
      <c r="F14" s="4" t="s">
        <v>296</v>
      </c>
      <c r="G14" s="4" t="s">
        <v>546</v>
      </c>
      <c r="H14" s="4" t="s">
        <v>512</v>
      </c>
      <c r="I14" s="4" t="s">
        <v>588</v>
      </c>
    </row>
    <row r="15" customFormat="false" ht="15" hidden="false" customHeight="false" outlineLevel="0" collapsed="false">
      <c r="A15" s="4" t="s">
        <v>589</v>
      </c>
      <c r="B15" s="10" t="s">
        <v>590</v>
      </c>
      <c r="C15" s="10" t="s">
        <v>591</v>
      </c>
      <c r="D15" s="4" t="s">
        <v>543</v>
      </c>
      <c r="E15" s="4" t="s">
        <v>592</v>
      </c>
      <c r="F15" s="4" t="s">
        <v>249</v>
      </c>
      <c r="G15" s="4" t="s">
        <v>546</v>
      </c>
      <c r="H15" s="4" t="s">
        <v>512</v>
      </c>
      <c r="I15" s="4" t="s">
        <v>593</v>
      </c>
    </row>
    <row r="16" customFormat="false" ht="15" hidden="false" customHeight="false" outlineLevel="0" collapsed="false">
      <c r="A16" s="4" t="s">
        <v>33</v>
      </c>
      <c r="B16" s="10" t="s">
        <v>594</v>
      </c>
      <c r="C16" s="10" t="s">
        <v>595</v>
      </c>
      <c r="D16" s="4" t="s">
        <v>543</v>
      </c>
      <c r="E16" s="4" t="s">
        <v>596</v>
      </c>
      <c r="F16" s="4" t="s">
        <v>35</v>
      </c>
      <c r="G16" s="4" t="s">
        <v>546</v>
      </c>
      <c r="H16" s="4" t="s">
        <v>512</v>
      </c>
      <c r="I16" s="4" t="s">
        <v>571</v>
      </c>
    </row>
    <row r="17" customFormat="false" ht="15" hidden="false" customHeight="false" outlineLevel="0" collapsed="false">
      <c r="A17" s="4" t="s">
        <v>597</v>
      </c>
      <c r="B17" s="10" t="s">
        <v>598</v>
      </c>
      <c r="C17" s="10" t="s">
        <v>599</v>
      </c>
      <c r="D17" s="4" t="s">
        <v>543</v>
      </c>
      <c r="E17" s="4" t="s">
        <v>600</v>
      </c>
      <c r="F17" s="4" t="s">
        <v>35</v>
      </c>
      <c r="G17" s="4" t="s">
        <v>546</v>
      </c>
      <c r="H17" s="4" t="s">
        <v>512</v>
      </c>
      <c r="I17" s="4" t="s">
        <v>571</v>
      </c>
    </row>
    <row r="18" customFormat="false" ht="15" hidden="false" customHeight="false" outlineLevel="0" collapsed="false">
      <c r="A18" s="4" t="s">
        <v>601</v>
      </c>
      <c r="B18" s="10" t="s">
        <v>602</v>
      </c>
      <c r="C18" s="10" t="s">
        <v>603</v>
      </c>
      <c r="D18" s="4" t="s">
        <v>543</v>
      </c>
      <c r="E18" s="4" t="s">
        <v>604</v>
      </c>
      <c r="F18" s="4" t="s">
        <v>35</v>
      </c>
      <c r="G18" s="4" t="s">
        <v>546</v>
      </c>
      <c r="H18" s="4" t="s">
        <v>512</v>
      </c>
      <c r="I18" s="4" t="s">
        <v>571</v>
      </c>
    </row>
    <row r="19" customFormat="false" ht="23.85" hidden="false" customHeight="false" outlineLevel="0" collapsed="false">
      <c r="A19" s="4" t="s">
        <v>605</v>
      </c>
      <c r="B19" s="10" t="s">
        <v>606</v>
      </c>
      <c r="C19" s="10" t="s">
        <v>607</v>
      </c>
      <c r="D19" s="4" t="s">
        <v>543</v>
      </c>
      <c r="E19" s="4" t="s">
        <v>608</v>
      </c>
      <c r="F19" s="4" t="s">
        <v>76</v>
      </c>
      <c r="G19" s="4" t="s">
        <v>546</v>
      </c>
      <c r="H19" s="4" t="s">
        <v>512</v>
      </c>
      <c r="I19" s="4" t="s">
        <v>609</v>
      </c>
    </row>
    <row r="20" customFormat="false" ht="15" hidden="false" customHeight="false" outlineLevel="0" collapsed="false">
      <c r="A20" s="4" t="s">
        <v>610</v>
      </c>
      <c r="B20" s="10" t="s">
        <v>611</v>
      </c>
      <c r="C20" s="10" t="s">
        <v>612</v>
      </c>
      <c r="D20" s="4" t="s">
        <v>543</v>
      </c>
      <c r="E20" s="4" t="s">
        <v>613</v>
      </c>
      <c r="F20" s="4" t="s">
        <v>15</v>
      </c>
      <c r="G20" s="4" t="s">
        <v>546</v>
      </c>
      <c r="H20" s="4" t="s">
        <v>512</v>
      </c>
      <c r="I20" s="4" t="s">
        <v>614</v>
      </c>
    </row>
    <row r="21" customFormat="false" ht="23.85" hidden="false" customHeight="false" outlineLevel="0" collapsed="false">
      <c r="A21" s="4" t="s">
        <v>615</v>
      </c>
      <c r="B21" s="10" t="s">
        <v>616</v>
      </c>
      <c r="C21" s="10" t="s">
        <v>617</v>
      </c>
      <c r="D21" s="4" t="s">
        <v>543</v>
      </c>
      <c r="E21" s="4" t="s">
        <v>618</v>
      </c>
      <c r="F21" s="4" t="s">
        <v>76</v>
      </c>
      <c r="G21" s="4" t="s">
        <v>546</v>
      </c>
      <c r="H21" s="4" t="s">
        <v>512</v>
      </c>
      <c r="I21" s="4" t="s">
        <v>619</v>
      </c>
    </row>
    <row r="22" customFormat="false" ht="15" hidden="false" customHeight="false" outlineLevel="0" collapsed="false">
      <c r="A22" s="4" t="s">
        <v>620</v>
      </c>
      <c r="B22" s="10" t="s">
        <v>621</v>
      </c>
      <c r="C22" s="10" t="s">
        <v>622</v>
      </c>
      <c r="D22" s="4" t="s">
        <v>543</v>
      </c>
      <c r="E22" s="4" t="s">
        <v>623</v>
      </c>
      <c r="F22" s="4" t="s">
        <v>76</v>
      </c>
      <c r="G22" s="4" t="s">
        <v>546</v>
      </c>
      <c r="H22" s="4" t="s">
        <v>512</v>
      </c>
      <c r="I22" s="4" t="s">
        <v>624</v>
      </c>
    </row>
    <row r="23" customFormat="false" ht="23.85" hidden="false" customHeight="false" outlineLevel="0" collapsed="false">
      <c r="A23" s="4" t="s">
        <v>625</v>
      </c>
      <c r="B23" s="10" t="s">
        <v>626</v>
      </c>
      <c r="C23" s="10" t="s">
        <v>627</v>
      </c>
      <c r="D23" s="4" t="s">
        <v>543</v>
      </c>
      <c r="E23" s="4" t="s">
        <v>628</v>
      </c>
      <c r="F23" s="4" t="s">
        <v>76</v>
      </c>
      <c r="G23" s="4" t="s">
        <v>546</v>
      </c>
      <c r="H23" s="4" t="s">
        <v>512</v>
      </c>
      <c r="I23" s="4" t="s">
        <v>629</v>
      </c>
    </row>
    <row r="24" customFormat="false" ht="23.85" hidden="false" customHeight="false" outlineLevel="0" collapsed="false">
      <c r="A24" s="4" t="s">
        <v>630</v>
      </c>
      <c r="B24" s="10" t="s">
        <v>631</v>
      </c>
      <c r="C24" s="10" t="s">
        <v>632</v>
      </c>
      <c r="D24" s="4" t="s">
        <v>543</v>
      </c>
      <c r="E24" s="4" t="s">
        <v>633</v>
      </c>
      <c r="F24" s="4" t="s">
        <v>76</v>
      </c>
      <c r="G24" s="4" t="s">
        <v>546</v>
      </c>
      <c r="H24" s="4" t="s">
        <v>512</v>
      </c>
      <c r="I24" s="4" t="s">
        <v>634</v>
      </c>
    </row>
    <row r="25" customFormat="false" ht="23.85" hidden="false" customHeight="false" outlineLevel="0" collapsed="false">
      <c r="A25" s="4" t="s">
        <v>635</v>
      </c>
      <c r="B25" s="10" t="s">
        <v>636</v>
      </c>
      <c r="C25" s="10" t="s">
        <v>637</v>
      </c>
      <c r="D25" s="4" t="s">
        <v>543</v>
      </c>
      <c r="E25" s="4" t="s">
        <v>638</v>
      </c>
      <c r="F25" s="4" t="s">
        <v>76</v>
      </c>
      <c r="G25" s="4" t="s">
        <v>546</v>
      </c>
      <c r="H25" s="4" t="s">
        <v>512</v>
      </c>
      <c r="I25" s="4" t="s">
        <v>639</v>
      </c>
    </row>
    <row r="26" customFormat="false" ht="23.85" hidden="false" customHeight="false" outlineLevel="0" collapsed="false">
      <c r="A26" s="4" t="s">
        <v>640</v>
      </c>
      <c r="B26" s="10" t="s">
        <v>641</v>
      </c>
      <c r="C26" s="10" t="s">
        <v>642</v>
      </c>
      <c r="D26" s="4" t="s">
        <v>543</v>
      </c>
      <c r="E26" s="4" t="s">
        <v>643</v>
      </c>
      <c r="F26" s="4" t="s">
        <v>410</v>
      </c>
      <c r="G26" s="4" t="s">
        <v>546</v>
      </c>
      <c r="H26" s="4" t="s">
        <v>512</v>
      </c>
      <c r="I26" s="4" t="s">
        <v>644</v>
      </c>
    </row>
    <row r="27" customFormat="false" ht="23.85" hidden="false" customHeight="false" outlineLevel="0" collapsed="false">
      <c r="A27" s="4" t="s">
        <v>645</v>
      </c>
      <c r="B27" s="4"/>
      <c r="C27" s="10" t="s">
        <v>646</v>
      </c>
      <c r="D27" s="4" t="s">
        <v>647</v>
      </c>
      <c r="E27" s="4" t="s">
        <v>648</v>
      </c>
      <c r="F27" s="4" t="s">
        <v>649</v>
      </c>
      <c r="G27" s="4" t="s">
        <v>546</v>
      </c>
      <c r="H27" s="4" t="s">
        <v>650</v>
      </c>
      <c r="I27" s="4" t="s">
        <v>651</v>
      </c>
    </row>
  </sheetData>
  <autoFilter ref="A1:I27"/>
  <mergeCells count="2">
    <mergeCell ref="A1:I1"/>
    <mergeCell ref="A2:I2"/>
  </mergeCells>
  <dataValidations count="1">
    <dataValidation allowBlank="false" errorStyle="stop" operator="between" showDropDown="false" showErrorMessage="false" showInputMessage="false" sqref="H5:H27" type="list">
      <formula1>"Pending merge,Branch published,Live,Deprecated"</formula1>
      <formula2>0</formula2>
    </dataValidation>
  </dataValidations>
  <hyperlinks>
    <hyperlink ref="B5" r:id="rId1" display="https://microsoft.github.io/aibast-agents-library/docs/rapp-workshop/"/>
    <hyperlink ref="C5" r:id="rId2" display="https://github.com/kody-w/aibast-agents-library/blob/docs/fy27-rapp-workshop/docs/rapp-workshop/index.html"/>
    <hyperlink ref="B6" r:id="rId3" display="https://microsoft.github.io/aibast-agents-library/docs/rapp-workshop/bom.html"/>
    <hyperlink ref="C6" r:id="rId4" display="https://github.com/kody-w/aibast-agents-library/blob/docs/fy27-rapp-workshop/docs/rapp-workshop/bom.html"/>
    <hyperlink ref="B7" r:id="rId5" display="https://microsoft.github.io/aibast-agents-library/docs/rapp-workshop/facilitator-runbook.html"/>
    <hyperlink ref="C7" r:id="rId6" display="https://github.com/kody-w/aibast-agents-library/blob/docs/fy27-rapp-workshop/docs/rapp-workshop/facilitator-runbook.html"/>
    <hyperlink ref="B8" r:id="rId7" display="https://microsoft.github.io/aibast-agents-library/docs/rapp-workshop/facilitator-guide.html"/>
    <hyperlink ref="C8" r:id="rId8" display="https://github.com/kody-w/aibast-agents-library/blob/docs/fy27-rapp-workshop/docs/rapp-workshop/facilitator-guide.html"/>
    <hyperlink ref="B9" r:id="rId9" display="https://microsoft.github.io/aibast-agents-library/docs/rapp-workshop/customer-communications.html"/>
    <hyperlink ref="C9" r:id="rId10" display="https://github.com/kody-w/aibast-agents-library/blob/docs/fy27-rapp-workshop/docs/rapp-workshop/customer-communications.html"/>
    <hyperlink ref="B10" r:id="rId11" display="https://microsoft.github.io/aibast-agents-library/docs/rapp-workshop/examples.html"/>
    <hyperlink ref="C10" r:id="rId12" display="https://github.com/kody-w/aibast-agents-library/blob/docs/fy27-rapp-workshop/docs/rapp-workshop/examples.html"/>
    <hyperlink ref="B11" r:id="rId13" display="https://microsoft.github.io/aibast-agents-library/docs/rapp-workshop/scoring-guide.html"/>
    <hyperlink ref="C11" r:id="rId14" display="https://github.com/kody-w/aibast-agents-library/blob/docs/fy27-rapp-workshop/docs/rapp-workshop/scoring-guide.html"/>
    <hyperlink ref="B12" r:id="rId15" display="https://microsoft.github.io/aibast-agents-library/docs/rapp-workshop/downloads/FY27%20RAPP%20Workshop%20Deck.pptx"/>
    <hyperlink ref="C12" r:id="rId16" display="https://github.com/kody-w/aibast-agents-library/blob/docs/fy27-rapp-workshop/docs/rapp-workshop/downloads/FY27%20RAPP%20Workshop%20Deck.pptx"/>
    <hyperlink ref="B13" r:id="rId17" display="https://microsoft.github.io/aibast-agents-library/docs/rapp-workshop/downloads/FY27%20RAPP%20Facilitator%20Guide.docx"/>
    <hyperlink ref="C13" r:id="rId18" display="https://github.com/kody-w/aibast-agents-library/blob/docs/fy27-rapp-workshop/docs/rapp-workshop/downloads/FY27%20RAPP%20Facilitator%20Guide.docx"/>
    <hyperlink ref="B14" r:id="rId19" display="https://microsoft.github.io/aibast-agents-library/docs/rapp-workshop/downloads/FY27%20RAPP%20Customer%20Communications%20Pack.docx"/>
    <hyperlink ref="C14" r:id="rId20" display="https://github.com/kody-w/aibast-agents-library/blob/docs/fy27-rapp-workshop/docs/rapp-workshop/downloads/FY27%20RAPP%20Customer%20Communications%20Pack.docx"/>
    <hyperlink ref="B15" r:id="rId21" display="https://microsoft.github.io/aibast-agents-library/docs/rapp-workshop/downloads/FY27%20RAPP%20Workshop%20BOM%20and%20Readiness.xlsx"/>
    <hyperlink ref="C15" r:id="rId22" display="https://github.com/kody-w/aibast-agents-library/blob/docs/fy27-rapp-workshop/docs/rapp-workshop/downloads/FY27%20RAPP%20Workshop%20BOM%20and%20Readiness.xlsx"/>
    <hyperlink ref="B16" r:id="rId23" display="https://microsoft.github.io/aibast-agents-library/docs/rapp-workshop/downloads/Example%20Inputs/01%20Facilities%20Discovery%20Transcript.docx"/>
    <hyperlink ref="C16" r:id="rId24" display="https://github.com/kody-w/aibast-agents-library/blob/docs/fy27-rapp-workshop/docs/rapp-workshop/downloads/Example%20Inputs/01%20Facilities%20Discovery%20Transcript.docx"/>
    <hyperlink ref="B17" r:id="rId25" display="https://microsoft.github.io/aibast-agents-library/docs/rapp-workshop/downloads/Example%20Inputs/02%20Facilities%20Maintenance%20FAQ.docx"/>
    <hyperlink ref="C17" r:id="rId26" display="https://github.com/kody-w/aibast-agents-library/blob/docs/fy27-rapp-workshop/docs/rapp-workshop/downloads/Example%20Inputs/02%20Facilities%20Maintenance%20FAQ.docx"/>
    <hyperlink ref="B18" r:id="rId27" display="https://microsoft.github.io/aibast-agents-library/docs/rapp-workshop/downloads/Example%20Inputs/03%20Sample%20Service%20Requests.xlsx"/>
    <hyperlink ref="C18" r:id="rId28" display="https://github.com/kody-w/aibast-agents-library/blob/docs/fy27-rapp-workshop/docs/rapp-workshop/downloads/Example%20Inputs/03%20Sample%20Service%20Requests.xlsx"/>
    <hyperlink ref="B19" r:id="rId29" display="https://microsoft.github.io/aibast-agents-library/docs/rapp-workshop/downloads/Example%20Inputs/facilities_request_agent.py"/>
    <hyperlink ref="C19" r:id="rId30" display="https://github.com/kody-w/aibast-agents-library/blob/docs/fy27-rapp-workshop/docs/rapp-workshop/downloads/Example%20Inputs/facilities_request_agent.py"/>
    <hyperlink ref="B20" r:id="rId31" display="https://microsoft.github.io/aibast-agents-library/docs/rapp-workshop/downloads/Facilitator%20Rehearsal/Expected%20MVP%20and%20Scoring%20Guide.docx"/>
    <hyperlink ref="C20" r:id="rId32" display="https://github.com/kody-w/aibast-agents-library/blob/docs/fy27-rapp-workshop/docs/rapp-workshop/downloads/Facilitator%20Rehearsal/Expected%20MVP%20and%20Scoring%20Guide.docx"/>
    <hyperlink ref="B21" r:id="rId33" display="https://microsoft.github.io/aibast-agents-library/docs/rapp-workshop/downloads/Optional%20Extension/rapp_copilot_studio_extension_agent.py"/>
    <hyperlink ref="C21" r:id="rId34" display="https://github.com/kody-w/aibast-agents-library/blob/docs/fy27-rapp-workshop/docs/rapp-workshop/downloads/Optional%20Extension/rapp_copilot_studio_extension_agent.py"/>
    <hyperlink ref="B22" r:id="rId35" display="https://microsoft.github.io/aibast-agents-library/docs/rapp-workshop/downloads/Optional%20Extension/transcript2prototype_agent.py"/>
    <hyperlink ref="C22" r:id="rId36" display="https://github.com/kody-w/aibast-agents-library/blob/docs/fy27-rapp-workshop/docs/rapp-workshop/downloads/Optional%20Extension/transcript2prototype_agent.py"/>
    <hyperlink ref="B23" r:id="rId37" display="https://microsoft.github.io/aibast-agents-library/docs/rapp-workshop/downloads/Optional%20Extension/connected_solution_agent.py"/>
    <hyperlink ref="C23" r:id="rId38" display="https://github.com/kody-w/aibast-agents-library/blob/docs/fy27-rapp-workshop/docs/rapp-workshop/downloads/Optional%20Extension/connected_solution_agent.py"/>
    <hyperlink ref="B24" r:id="rId39" display="https://microsoft.github.io/aibast-agents-library/docs/rapp-workshop/downloads/Optional%20Extension/Sample%20Output/FacilitiesWorkshop_M365_Demo.html"/>
    <hyperlink ref="C24" r:id="rId40" display="https://github.com/kody-w/aibast-agents-library/blob/docs/fy27-rapp-workshop/docs/rapp-workshop/downloads/Optional%20Extension/Sample%20Output/FacilitiesWorkshop_M365_Demo.html"/>
    <hyperlink ref="B25" r:id="rId41" display="https://microsoft.github.io/aibast-agents-library/docs/rapp-workshop/downloads/Optional%20Extension/Sample%20Output/FacilitiesWorkshop_CopilotStudio_Solution.zip"/>
    <hyperlink ref="C25" r:id="rId42" display="https://github.com/kody-w/aibast-agents-library/blob/docs/fy27-rapp-workshop/docs/rapp-workshop/downloads/Optional%20Extension/Sample%20Output/FacilitiesWorkshop_CopilotStudio_Solution.zip"/>
    <hyperlink ref="B26" r:id="rId43" display="https://microsoft.github.io/aibast-agents-library/docs/rapp-workshop/downloads/Test%20%26%20Eval/rapp_evaluation_seed.json"/>
    <hyperlink ref="C26" r:id="rId44" display="https://github.com/kody-w/aibast-agents-library/blob/docs/fy27-rapp-workshop/docs/rapp-workshop/downloads/Test%20%26%20Eval/rapp_evaluation_seed.json"/>
    <hyperlink ref="C27" r:id="rId45" display="https://github.com/microsoft/aibast-agents-library/compare/main...kody-w:aibast-agents-library:docs/fy27-rapp-workshop?expand=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6"/>
  <tableParts>
    <tablePart r:id="rId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2026-07-13T17:16:33Z</dcterms:created>
  <dc:creator>openpyxl</dc:creator>
  <dc:description/>
  <dc:language>en-US</dc:language>
  <cp:lastModifiedBy/>
  <dcterms:modified xsi:type="dcterms:W3CDTF">2026-07-13T17:16:33Z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